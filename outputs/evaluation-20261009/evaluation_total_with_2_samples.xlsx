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11332fdb8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dd2ce3150b4250"/>
    <x:sheet xmlns:r="http://schemas.openxmlformats.org/officeDocument/2006/relationships" name="Clients" sheetId="2" r:id="R58f4ddb9389e4f26"/>
    <x:sheet xmlns:r="http://schemas.openxmlformats.org/officeDocument/2006/relationships" name="IT experts" sheetId="3" r:id="Rbdfb97b48e6a4387"/>
    <x:sheet xmlns:r="http://schemas.openxmlformats.org/officeDocument/2006/relationships" name="Samples" sheetId="4" r:id="R2bda2dd9496145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6"/>
      <x:name val="Arial"/>
    </x:font>
    <x:font>
      <x:b/>
      <x:sz val="11"/>
      <x:name val="Carlito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BFBFBF"/>
      </x:patternFill>
    </x:fill>
    <x:fill>
      <x:patternFill patternType="solid">
        <x:fgColor rgb="FFFFE699"/>
      </x:patternFill>
    </x:fill>
  </x:fills>
  <x:borders count="2">
    <x:border/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/>
    </x:xf>
    <x:xf numFmtId="0" fontId="4" fillId="3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right"/>
    </x:xf>
    <x:xf numFmtId="0" fontId="4" fillId="3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7d47de776f496f" /><Relationship Type="http://schemas.openxmlformats.org/officeDocument/2006/relationships/theme" Target="/xl/theme/theme1.xml" Id="Re10252388f834f77" /><Relationship Type="http://schemas.openxmlformats.org/officeDocument/2006/relationships/sharedStrings" Target="/xl/sharedStrings.xml" Id="Rf14aa58d4898480a" /><Relationship Type="http://schemas.openxmlformats.org/officeDocument/2006/relationships/worksheet" Target="/xl/worksheets/sheet1.xml" Id="R3ddd2ce3150b4250" /><Relationship Type="http://schemas.openxmlformats.org/officeDocument/2006/relationships/worksheet" Target="/xl/worksheets/sheet2.xml" Id="R58f4ddb9389e4f26" /><Relationship Type="http://schemas.openxmlformats.org/officeDocument/2006/relationships/worksheet" Target="/xl/worksheets/sheet3.xml" Id="Rbdfb97b48e6a4387" /><Relationship Type="http://schemas.openxmlformats.org/officeDocument/2006/relationships/worksheet" Target="/xl/worksheets/sheet4.xml" Id="R2bda2dd9496145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8" max="8" width="3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2" customHeight="1">
      <x:c r="A1" s="2" t="str">
        <x:v>TOTAL TALLY — INCLUDES 2 SYNTHETIC CLIENTS</x:v>
      </x:c>
      <x:c r="B1" s="1"/>
      <x:c r="C1" s="1"/>
      <x:c r="D1" s="1"/>
      <x:c r="E1" s="1"/>
      <x:c r="F1" s="1"/>
    </x:row>
    <x:row r="2" ht="22" customHeight="1">
      <x:c r="A2" s="1" t="str">
        <x:v>40 client records (38 actual + 2 samples) and 10 IT experts</x:v>
      </x:c>
      <x:c r="B2" s="1"/>
      <x:c r="C2" s="1"/>
      <x:c r="D2" s="1"/>
      <x:c r="E2" s="1"/>
      <x:c r="F2" s="1"/>
    </x:row>
    <x:row r="3" ht="22" customHeight="1">
      <x:c r="A3" s="1" t="str">
        <x:v>PROVISIONAL: unresolved original marks excluded; this is a sample-inclusive scenario.</x:v>
      </x:c>
      <x:c r="B3" s="1"/>
      <x:c r="C3" s="1"/>
      <x:c r="D3" s="1"/>
      <x:c r="E3" s="1"/>
      <x:c r="F3" s="1"/>
    </x:row>
    <x:row r="4" ht="22" customHeight="1">
      <x:c r="A4" s="1"/>
      <x:c r="B4" s="1"/>
      <x:c r="C4" s="1"/>
      <x:c r="D4" s="1"/>
      <x:c r="E4" s="1"/>
      <x:c r="F4" s="1"/>
    </x:row>
    <x:row r="5" ht="42" customHeight="1">
      <x:c r="A5" s="15" t="str">
        <x:v>SOFTWARE EVALUATION CHARACTERISTICS</x:v>
      </x:c>
      <x:c r="B5" s="15" t="str">
        <x:v>Excellent</x:v>
      </x:c>
      <x:c r="C5" s="15" t="str">
        <x:v>Very Good</x:v>
      </x:c>
      <x:c r="D5" s="15" t="str">
        <x:v>Good</x:v>
      </x:c>
      <x:c r="E5" s="15" t="str">
        <x:v>Fair</x:v>
      </x:c>
      <x:c r="F5" s="15" t="str">
        <x:v>Poor</x:v>
      </x:c>
      <x:c r="H5" t="str">
        <x:v>Completeness review</x:v>
      </x:c>
      <x:c r="I5" t="str">
        <x:v>Eligible records</x:v>
      </x:c>
      <x:c r="J5" t="str">
        <x:v>Tallied ratings</x:v>
      </x:c>
      <x:c r="K5" t="str">
        <x:v>Unresolved</x:v>
      </x:c>
    </x:row>
    <x:row r="6" ht="22" customHeight="1">
      <x:c r="A6" s="16" t="str">
        <x:v>FUNCTIONALITY</x:v>
      </x:c>
      <x:c r="B6" s="17"/>
      <x:c r="C6" s="17"/>
      <x:c r="D6" s="17"/>
      <x:c r="E6" s="17"/>
      <x:c r="F6" s="17"/>
      <x:c r="H6" t="str">
        <x:v>Functional completeness</x:v>
      </x:c>
      <x:c r="I6" t="n">
        <x:v>50</x:v>
      </x:c>
      <x:c r="J6" t="n">
        <x:f>SUM(B7:F7)</x:f>
        <x:v>40</x:v>
      </x:c>
      <x:c r="K6" t="n">
        <x:f>I6-J6</x:f>
        <x:v>10</x:v>
      </x:c>
    </x:row>
    <x:row r="7" ht="22" customHeight="1">
      <x:c r="A7" s="18" t="str">
        <x:v>Functional completeness</x:v>
      </x:c>
      <x:c r="B7" s="19" t="n">
        <x:f>COUNTIF('IT experts'!C6:C15,5)+COUNTIF(Clients!C6:C43,5)+COUNTIF(Samples!B6:B7,5)</x:f>
        <x:v>21</x:v>
      </x:c>
      <x:c r="C7" s="19" t="n">
        <x:f>COUNTIF('IT experts'!C6:C15,4)+COUNTIF(Clients!C6:C43,4)+COUNTIF(Samples!B6:B7,4)</x:f>
        <x:v>14</x:v>
      </x:c>
      <x:c r="D7" s="19" t="n">
        <x:f>COUNTIF('IT experts'!C6:C15,3)+COUNTIF(Clients!C6:C43,3)+COUNTIF(Samples!B6:B7,3)</x:f>
        <x:v>4</x:v>
      </x:c>
      <x:c r="E7" s="19" t="n">
        <x:f>COUNTIF('IT experts'!C6:C15,2)+COUNTIF(Clients!C6:C43,2)+COUNTIF(Samples!B6:B7,2)</x:f>
        <x:v>1</x:v>
      </x:c>
      <x:c r="F7" s="19" t="n">
        <x:f>COUNTIF('IT experts'!C6:C15,1)+COUNTIF(Clients!C6:C43,1)+COUNTIF(Samples!B6:B7,1)</x:f>
        <x:v>0</x:v>
      </x:c>
      <x:c r="H7" t="str">
        <x:v>Functional correctness</x:v>
      </x:c>
      <x:c r="I7" t="n">
        <x:v>50</x:v>
      </x:c>
      <x:c r="J7" t="n">
        <x:f>SUM(B8:F8)</x:f>
        <x:v>41</x:v>
      </x:c>
      <x:c r="K7" t="n">
        <x:f>I7-J7</x:f>
        <x:v>9</x:v>
      </x:c>
    </x:row>
    <x:row r="8" ht="22" customHeight="1">
      <x:c r="A8" s="18" t="str">
        <x:v>Functional correctness</x:v>
      </x:c>
      <x:c r="B8" s="19" t="n">
        <x:f>COUNTIF('IT experts'!D6:D15,5)+COUNTIF(Clients!D6:D43,5)+COUNTIF(Samples!C6:C7,5)</x:f>
        <x:v>24</x:v>
      </x:c>
      <x:c r="C8" s="19" t="n">
        <x:f>COUNTIF('IT experts'!D6:D15,4)+COUNTIF(Clients!D6:D43,4)+COUNTIF(Samples!C6:C7,4)</x:f>
        <x:v>11</x:v>
      </x:c>
      <x:c r="D8" s="19" t="n">
        <x:f>COUNTIF('IT experts'!D6:D15,3)+COUNTIF(Clients!D6:D43,3)+COUNTIF(Samples!C6:C7,3)</x:f>
        <x:v>5</x:v>
      </x:c>
      <x:c r="E8" s="19" t="n">
        <x:f>COUNTIF('IT experts'!D6:D15,2)+COUNTIF(Clients!D6:D43,2)+COUNTIF(Samples!C6:C7,2)</x:f>
        <x:v>1</x:v>
      </x:c>
      <x:c r="F8" s="19" t="n">
        <x:f>COUNTIF('IT experts'!D6:D15,1)+COUNTIF(Clients!D6:D43,1)+COUNTIF(Samples!C6:C7,1)</x:f>
        <x:v>0</x:v>
      </x:c>
      <x:c r="H8" t="str">
        <x:v>Functional appropriateness</x:v>
      </x:c>
      <x:c r="I8" t="n">
        <x:v>50</x:v>
      </x:c>
      <x:c r="J8" t="n">
        <x:f>SUM(B9:F9)</x:f>
        <x:v>42</x:v>
      </x:c>
      <x:c r="K8" t="n">
        <x:f>I8-J8</x:f>
        <x:v>8</x:v>
      </x:c>
    </x:row>
    <x:row r="9" ht="22" customHeight="1">
      <x:c r="A9" s="18" t="str">
        <x:v>Functional appropriateness</x:v>
      </x:c>
      <x:c r="B9" s="19" t="n">
        <x:f>COUNTIF('IT experts'!E6:E15,5)+COUNTIF(Clients!E6:E43,5)+COUNTIF(Samples!D6:D7,5)</x:f>
        <x:v>27</x:v>
      </x:c>
      <x:c r="C9" s="19" t="n">
        <x:f>COUNTIF('IT experts'!E6:E15,4)+COUNTIF(Clients!E6:E43,4)+COUNTIF(Samples!D6:D7,4)</x:f>
        <x:v>9</x:v>
      </x:c>
      <x:c r="D9" s="19" t="n">
        <x:f>COUNTIF('IT experts'!E6:E15,3)+COUNTIF(Clients!E6:E43,3)+COUNTIF(Samples!D6:D7,3)</x:f>
        <x:v>5</x:v>
      </x:c>
      <x:c r="E9" s="19" t="n">
        <x:f>COUNTIF('IT experts'!E6:E15,2)+COUNTIF(Clients!E6:E43,2)+COUNTIF(Samples!D6:D7,2)</x:f>
        <x:v>1</x:v>
      </x:c>
      <x:c r="F9" s="19" t="n">
        <x:f>COUNTIF('IT experts'!E6:E15,1)+COUNTIF(Clients!E6:E43,1)+COUNTIF(Samples!D6:D7,1)</x:f>
        <x:v>0</x:v>
      </x:c>
      <x:c r="H9" t="str">
        <x:v>Maturity</x:v>
      </x:c>
      <x:c r="I9" t="n">
        <x:v>50</x:v>
      </x:c>
      <x:c r="J9" t="n">
        <x:f>SUM(B11:F11)</x:f>
        <x:v>17</x:v>
      </x:c>
      <x:c r="K9" t="n">
        <x:f>I9-J9</x:f>
        <x:v>33</x:v>
      </x:c>
    </x:row>
    <x:row r="10" ht="22" customHeight="1">
      <x:c r="A10" s="16" t="str">
        <x:v>RELIABILITY</x:v>
      </x:c>
      <x:c r="B10" s="17"/>
      <x:c r="C10" s="17"/>
      <x:c r="D10" s="17"/>
      <x:c r="E10" s="17"/>
      <x:c r="F10" s="17"/>
      <x:c r="H10" t="str">
        <x:v>Availability</x:v>
      </x:c>
      <x:c r="I10" t="n">
        <x:v>50</x:v>
      </x:c>
      <x:c r="J10" t="n">
        <x:f>SUM(B12:F12)</x:f>
        <x:v>41</x:v>
      </x:c>
      <x:c r="K10" t="n">
        <x:f>I10-J10</x:f>
        <x:v>9</x:v>
      </x:c>
    </x:row>
    <x:row r="11" ht="22" customHeight="1">
      <x:c r="A11" s="18" t="str">
        <x:v>Maturity</x:v>
      </x:c>
      <x:c r="B11" s="19" t="n">
        <x:f>COUNTIF('IT experts'!Q6:Q15,5)+COUNTIF(Clients!L6:L43,5)+COUNTIF(Samples!K6:K7,5)</x:f>
        <x:v>8</x:v>
      </x:c>
      <x:c r="C11" s="19" t="n">
        <x:f>COUNTIF('IT experts'!Q6:Q15,4)+COUNTIF(Clients!L6:L43,4)+COUNTIF(Samples!K6:K7,4)</x:f>
        <x:v>4</x:v>
      </x:c>
      <x:c r="D11" s="19" t="n">
        <x:f>COUNTIF('IT experts'!Q6:Q15,3)+COUNTIF(Clients!L6:L43,3)+COUNTIF(Samples!K6:K7,3)</x:f>
        <x:v>5</x:v>
      </x:c>
      <x:c r="E11" s="19" t="n">
        <x:f>COUNTIF('IT experts'!Q6:Q15,2)+COUNTIF(Clients!L6:L43,2)+COUNTIF(Samples!K6:K7,2)</x:f>
        <x:v>0</x:v>
      </x:c>
      <x:c r="F11" s="19" t="n">
        <x:f>COUNTIF('IT experts'!Q6:Q15,1)+COUNTIF(Clients!L6:L43,1)+COUNTIF(Samples!K6:K7,1)</x:f>
        <x:v>0</x:v>
      </x:c>
      <x:c r="H11" t="str">
        <x:v>Fault tolerance</x:v>
      </x:c>
      <x:c r="I11" t="n">
        <x:v>50</x:v>
      </x:c>
      <x:c r="J11" t="n">
        <x:f>SUM(B13:F13)</x:f>
        <x:v>43</x:v>
      </x:c>
      <x:c r="K11" t="n">
        <x:f>I11-J11</x:f>
        <x:v>7</x:v>
      </x:c>
    </x:row>
    <x:row r="12" ht="22" customHeight="1">
      <x:c r="A12" s="18" t="str">
        <x:v>Availability</x:v>
      </x:c>
      <x:c r="B12" s="19" t="n">
        <x:f>COUNTIF('IT experts'!R6:R15,5)+COUNTIF(Clients!M6:M43,5)+COUNTIF(Samples!L6:L7,5)</x:f>
        <x:v>25</x:v>
      </x:c>
      <x:c r="C12" s="19" t="n">
        <x:f>COUNTIF('IT experts'!R6:R15,4)+COUNTIF(Clients!M6:M43,4)+COUNTIF(Samples!L6:L7,4)</x:f>
        <x:v>12</x:v>
      </x:c>
      <x:c r="D12" s="19" t="n">
        <x:f>COUNTIF('IT experts'!R6:R15,3)+COUNTIF(Clients!M6:M43,3)+COUNTIF(Samples!L6:L7,3)</x:f>
        <x:v>3</x:v>
      </x:c>
      <x:c r="E12" s="19" t="n">
        <x:f>COUNTIF('IT experts'!R6:R15,2)+COUNTIF(Clients!M6:M43,2)+COUNTIF(Samples!L6:L7,2)</x:f>
        <x:v>1</x:v>
      </x:c>
      <x:c r="F12" s="19" t="n">
        <x:f>COUNTIF('IT experts'!R6:R15,1)+COUNTIF(Clients!M6:M43,1)+COUNTIF(Samples!L6:L7,1)</x:f>
        <x:v>0</x:v>
      </x:c>
      <x:c r="H12" t="str">
        <x:v>Recoverability</x:v>
      </x:c>
      <x:c r="I12" t="n">
        <x:v>50</x:v>
      </x:c>
      <x:c r="J12" t="n">
        <x:f>SUM(B14:F14)</x:f>
        <x:v>41</x:v>
      </x:c>
      <x:c r="K12" t="n">
        <x:f>I12-J12</x:f>
        <x:v>9</x:v>
      </x:c>
    </x:row>
    <x:row r="13" ht="22" customHeight="1">
      <x:c r="A13" s="18" t="str">
        <x:v>Fault tolerance</x:v>
      </x:c>
      <x:c r="B13" s="19" t="n">
        <x:f>COUNTIF('IT experts'!S6:S15,5)+COUNTIF(Clients!N6:N43,5)+COUNTIF(Samples!M6:M7,5)</x:f>
        <x:v>20</x:v>
      </x:c>
      <x:c r="C13" s="19" t="n">
        <x:f>COUNTIF('IT experts'!S6:S15,4)+COUNTIF(Clients!N6:N43,4)+COUNTIF(Samples!M6:M7,4)</x:f>
        <x:v>13</x:v>
      </x:c>
      <x:c r="D13" s="19" t="n">
        <x:f>COUNTIF('IT experts'!S6:S15,3)+COUNTIF(Clients!N6:N43,3)+COUNTIF(Samples!M6:M7,3)</x:f>
        <x:v>9</x:v>
      </x:c>
      <x:c r="E13" s="19" t="n">
        <x:f>COUNTIF('IT experts'!S6:S15,2)+COUNTIF(Clients!N6:N43,2)+COUNTIF(Samples!M6:M7,2)</x:f>
        <x:v>1</x:v>
      </x:c>
      <x:c r="F13" s="19" t="n">
        <x:f>COUNTIF('IT experts'!S6:S15,1)+COUNTIF(Clients!N6:N43,1)+COUNTIF(Samples!M6:M7,1)</x:f>
        <x:v>0</x:v>
      </x:c>
      <x:c r="H13" t="str">
        <x:v>Appropriateness recognizability</x:v>
      </x:c>
      <x:c r="I13" t="n">
        <x:v>50</x:v>
      </x:c>
      <x:c r="J13" t="n">
        <x:f>SUM(B16:F16)</x:f>
        <x:v>43</x:v>
      </x:c>
      <x:c r="K13" t="n">
        <x:f>I13-J13</x:f>
        <x:v>7</x:v>
      </x:c>
    </x:row>
    <x:row r="14" ht="22" customHeight="1">
      <x:c r="A14" s="18" t="str">
        <x:v>Recoverability</x:v>
      </x:c>
      <x:c r="B14" s="19" t="n">
        <x:f>COUNTIF('IT experts'!T6:T15,5)+COUNTIF(Clients!O6:O43,5)+COUNTIF(Samples!N6:N7,5)</x:f>
        <x:v>20</x:v>
      </x:c>
      <x:c r="C14" s="19" t="n">
        <x:f>COUNTIF('IT experts'!T6:T15,4)+COUNTIF(Clients!O6:O43,4)+COUNTIF(Samples!N6:N7,4)</x:f>
        <x:v>13</x:v>
      </x:c>
      <x:c r="D14" s="19" t="n">
        <x:f>COUNTIF('IT experts'!T6:T15,3)+COUNTIF(Clients!O6:O43,3)+COUNTIF(Samples!N6:N7,3)</x:f>
        <x:v>7</x:v>
      </x:c>
      <x:c r="E14" s="19" t="n">
        <x:f>COUNTIF('IT experts'!T6:T15,2)+COUNTIF(Clients!O6:O43,2)+COUNTIF(Samples!N6:N7,2)</x:f>
        <x:v>1</x:v>
      </x:c>
      <x:c r="F14" s="19" t="n">
        <x:f>COUNTIF('IT experts'!T6:T15,1)+COUNTIF(Clients!O6:O43,1)+COUNTIF(Samples!N6:N7,1)</x:f>
        <x:v>0</x:v>
      </x:c>
      <x:c r="H14" t="str">
        <x:v>Learnability</x:v>
      </x:c>
      <x:c r="I14" t="n">
        <x:v>50</x:v>
      </x:c>
      <x:c r="J14" t="n">
        <x:f>SUM(B17:F17)</x:f>
        <x:v>41</x:v>
      </x:c>
      <x:c r="K14" t="n">
        <x:f>I14-J14</x:f>
        <x:v>9</x:v>
      </x:c>
    </x:row>
    <x:row r="15" ht="22" customHeight="1">
      <x:c r="A15" s="16" t="str">
        <x:v>USABILITY</x:v>
      </x:c>
      <x:c r="B15" s="17"/>
      <x:c r="C15" s="17"/>
      <x:c r="D15" s="17"/>
      <x:c r="E15" s="17"/>
      <x:c r="F15" s="17"/>
      <x:c r="H15" t="str">
        <x:v>Operability</x:v>
      </x:c>
      <x:c r="I15" t="n">
        <x:v>50</x:v>
      </x:c>
      <x:c r="J15" t="n">
        <x:f>SUM(B18:F18)</x:f>
        <x:v>43</x:v>
      </x:c>
      <x:c r="K15" t="n">
        <x:f>I15-J15</x:f>
        <x:v>7</x:v>
      </x:c>
    </x:row>
    <x:row r="16" ht="22" customHeight="1">
      <x:c r="A16" s="18" t="str">
        <x:v>Appropriateness recognizability</x:v>
      </x:c>
      <x:c r="B16" s="19" t="n">
        <x:f>COUNTIF('IT experts'!K6:K15,5)+COUNTIF(Clients!F6:F43,5)+COUNTIF(Samples!E6:E7,5)</x:f>
        <x:v>25</x:v>
      </x:c>
      <x:c r="C16" s="19" t="n">
        <x:f>COUNTIF('IT experts'!K6:K15,4)+COUNTIF(Clients!F6:F43,4)+COUNTIF(Samples!E6:E7,4)</x:f>
        <x:v>11</x:v>
      </x:c>
      <x:c r="D16" s="19" t="n">
        <x:f>COUNTIF('IT experts'!K6:K15,3)+COUNTIF(Clients!F6:F43,3)+COUNTIF(Samples!E6:E7,3)</x:f>
        <x:v>4</x:v>
      </x:c>
      <x:c r="E16" s="19" t="n">
        <x:f>COUNTIF('IT experts'!K6:K15,2)+COUNTIF(Clients!F6:F43,2)+COUNTIF(Samples!E6:E7,2)</x:f>
        <x:v>2</x:v>
      </x:c>
      <x:c r="F16" s="19" t="n">
        <x:f>COUNTIF('IT experts'!K6:K15,1)+COUNTIF(Clients!F6:F43,1)+COUNTIF(Samples!E6:E7,1)</x:f>
        <x:v>1</x:v>
      </x:c>
      <x:c r="H16" t="str">
        <x:v>User error protection</x:v>
      </x:c>
      <x:c r="I16" t="n">
        <x:v>50</x:v>
      </x:c>
      <x:c r="J16" t="n">
        <x:f>SUM(B19:F19)</x:f>
        <x:v>39</x:v>
      </x:c>
      <x:c r="K16" t="n">
        <x:f>I16-J16</x:f>
        <x:v>11</x:v>
      </x:c>
    </x:row>
    <x:row r="17" ht="22" customHeight="1">
      <x:c r="A17" s="18" t="str">
        <x:v>Learnability</x:v>
      </x:c>
      <x:c r="B17" s="19" t="n">
        <x:f>COUNTIF('IT experts'!L6:L15,5)+COUNTIF(Clients!G6:G43,5)+COUNTIF(Samples!F6:F7,5)</x:f>
        <x:v>22</x:v>
      </x:c>
      <x:c r="C17" s="19" t="n">
        <x:f>COUNTIF('IT experts'!L6:L15,4)+COUNTIF(Clients!G6:G43,4)+COUNTIF(Samples!F6:F7,4)</x:f>
        <x:v>13</x:v>
      </x:c>
      <x:c r="D17" s="19" t="n">
        <x:f>COUNTIF('IT experts'!L6:L15,3)+COUNTIF(Clients!G6:G43,3)+COUNTIF(Samples!F6:F7,3)</x:f>
        <x:v>3</x:v>
      </x:c>
      <x:c r="E17" s="19" t="n">
        <x:f>COUNTIF('IT experts'!L6:L15,2)+COUNTIF(Clients!G6:G43,2)+COUNTIF(Samples!F6:F7,2)</x:f>
        <x:v>2</x:v>
      </x:c>
      <x:c r="F17" s="19" t="n">
        <x:f>COUNTIF('IT experts'!L6:L15,1)+COUNTIF(Clients!G6:G43,1)+COUNTIF(Samples!F6:F7,1)</x:f>
        <x:v>1</x:v>
      </x:c>
      <x:c r="H17" t="str">
        <x:v>User interface aesthetics</x:v>
      </x:c>
      <x:c r="I17" t="n">
        <x:v>50</x:v>
      </x:c>
      <x:c r="J17" t="n">
        <x:f>SUM(B20:F20)</x:f>
        <x:v>40</x:v>
      </x:c>
      <x:c r="K17" t="n">
        <x:f>I17-J17</x:f>
        <x:v>10</x:v>
      </x:c>
    </x:row>
    <x:row r="18" ht="22" customHeight="1">
      <x:c r="A18" s="18" t="str">
        <x:v>Operability</x:v>
      </x:c>
      <x:c r="B18" s="19" t="n">
        <x:f>COUNTIF('IT experts'!M6:M15,5)+COUNTIF(Clients!H6:H43,5)+COUNTIF(Samples!G6:G7,5)</x:f>
        <x:v>22</x:v>
      </x:c>
      <x:c r="C18" s="19" t="n">
        <x:f>COUNTIF('IT experts'!M6:M15,4)+COUNTIF(Clients!H6:H43,4)+COUNTIF(Samples!G6:G7,4)</x:f>
        <x:v>14</x:v>
      </x:c>
      <x:c r="D18" s="19" t="n">
        <x:f>COUNTIF('IT experts'!M6:M15,3)+COUNTIF(Clients!H6:H43,3)+COUNTIF(Samples!G6:G7,3)</x:f>
        <x:v>4</x:v>
      </x:c>
      <x:c r="E18" s="19" t="n">
        <x:f>COUNTIF('IT experts'!M6:M15,2)+COUNTIF(Clients!H6:H43,2)+COUNTIF(Samples!G6:G7,2)</x:f>
        <x:v>2</x:v>
      </x:c>
      <x:c r="F18" s="19" t="n">
        <x:f>COUNTIF('IT experts'!M6:M15,1)+COUNTIF(Clients!H6:H43,1)+COUNTIF(Samples!G6:G7,1)</x:f>
        <x:v>1</x:v>
      </x:c>
      <x:c r="H18" t="str">
        <x:v>Accessibility</x:v>
      </x:c>
      <x:c r="I18" t="n">
        <x:v>50</x:v>
      </x:c>
      <x:c r="J18" t="n">
        <x:f>SUM(B21:F21)</x:f>
        <x:v>40</x:v>
      </x:c>
      <x:c r="K18" t="n">
        <x:f>I18-J18</x:f>
        <x:v>10</x:v>
      </x:c>
    </x:row>
    <x:row r="19" ht="22" customHeight="1">
      <x:c r="A19" s="18" t="str">
        <x:v>User error protection</x:v>
      </x:c>
      <x:c r="B19" s="19" t="n">
        <x:f>COUNTIF('IT experts'!N6:N15,5)+COUNTIF(Clients!I6:I43,5)+COUNTIF(Samples!H6:H7,5)</x:f>
        <x:v>10</x:v>
      </x:c>
      <x:c r="C19" s="19" t="n">
        <x:f>COUNTIF('IT experts'!N6:N15,4)+COUNTIF(Clients!I6:I43,4)+COUNTIF(Samples!H6:H7,4)</x:f>
        <x:v>16</x:v>
      </x:c>
      <x:c r="D19" s="19" t="n">
        <x:f>COUNTIF('IT experts'!N6:N15,3)+COUNTIF(Clients!I6:I43,3)+COUNTIF(Samples!H6:H7,3)</x:f>
        <x:v>11</x:v>
      </x:c>
      <x:c r="E19" s="19" t="n">
        <x:f>COUNTIF('IT experts'!N6:N15,2)+COUNTIF(Clients!I6:I43,2)+COUNTIF(Samples!H6:H7,2)</x:f>
        <x:v>1</x:v>
      </x:c>
      <x:c r="F19" s="19" t="n">
        <x:f>COUNTIF('IT experts'!N6:N15,1)+COUNTIF(Clients!I6:I43,1)+COUNTIF(Samples!H6:H7,1)</x:f>
        <x:v>1</x:v>
      </x:c>
      <x:c r="H19" t="str">
        <x:v>Time behavior</x:v>
      </x:c>
      <x:c r="I19" t="n">
        <x:v>10</x:v>
      </x:c>
      <x:c r="J19" t="n">
        <x:f>SUM(B23:F23)</x:f>
        <x:v>10</x:v>
      </x:c>
      <x:c r="K19" t="n">
        <x:f>I19-J19</x:f>
        <x:v>0</x:v>
      </x:c>
    </x:row>
    <x:row r="20" ht="22" customHeight="1">
      <x:c r="A20" s="18" t="str">
        <x:v>User interface aesthetics</x:v>
      </x:c>
      <x:c r="B20" s="19" t="n">
        <x:f>COUNTIF('IT experts'!O6:O15,5)+COUNTIF(Clients!J6:J43,5)+COUNTIF(Samples!I6:I7,5)</x:f>
        <x:v>21</x:v>
      </x:c>
      <x:c r="C20" s="19" t="n">
        <x:f>COUNTIF('IT experts'!O6:O15,4)+COUNTIF(Clients!J6:J43,4)+COUNTIF(Samples!I6:I7,4)</x:f>
        <x:v>11</x:v>
      </x:c>
      <x:c r="D20" s="19" t="n">
        <x:f>COUNTIF('IT experts'!O6:O15,3)+COUNTIF(Clients!J6:J43,3)+COUNTIF(Samples!I6:I7,3)</x:f>
        <x:v>7</x:v>
      </x:c>
      <x:c r="E20" s="19" t="n">
        <x:f>COUNTIF('IT experts'!O6:O15,2)+COUNTIF(Clients!J6:J43,2)+COUNTIF(Samples!I6:I7,2)</x:f>
        <x:v>0</x:v>
      </x:c>
      <x:c r="F20" s="19" t="n">
        <x:f>COUNTIF('IT experts'!O6:O15,1)+COUNTIF(Clients!J6:J43,1)+COUNTIF(Samples!I6:I7,1)</x:f>
        <x:v>1</x:v>
      </x:c>
      <x:c r="H20" t="str">
        <x:v>Resource utilization</x:v>
      </x:c>
      <x:c r="I20" t="n">
        <x:v>10</x:v>
      </x:c>
      <x:c r="J20" t="n">
        <x:f>SUM(B24:F24)</x:f>
        <x:v>10</x:v>
      </x:c>
      <x:c r="K20" t="n">
        <x:f>I20-J20</x:f>
        <x:v>0</x:v>
      </x:c>
    </x:row>
    <x:row r="21" ht="22" customHeight="1">
      <x:c r="A21" s="18" t="str">
        <x:v>Accessibility</x:v>
      </x:c>
      <x:c r="B21" s="19" t="n">
        <x:f>COUNTIF('IT experts'!P6:P15,5)+COUNTIF(Clients!K6:K43,5)+COUNTIF(Samples!J6:J7,5)</x:f>
        <x:v>30</x:v>
      </x:c>
      <x:c r="C21" s="19" t="n">
        <x:f>COUNTIF('IT experts'!P6:P15,4)+COUNTIF(Clients!K6:K43,4)+COUNTIF(Samples!J6:J7,4)</x:f>
        <x:v>5</x:v>
      </x:c>
      <x:c r="D21" s="19" t="n">
        <x:f>COUNTIF('IT experts'!P6:P15,3)+COUNTIF(Clients!K6:K43,3)+COUNTIF(Samples!J6:J7,3)</x:f>
        <x:v>4</x:v>
      </x:c>
      <x:c r="E21" s="19" t="n">
        <x:f>COUNTIF('IT experts'!P6:P15,2)+COUNTIF(Clients!K6:K43,2)+COUNTIF(Samples!J6:J7,2)</x:f>
        <x:v>1</x:v>
      </x:c>
      <x:c r="F21" s="19" t="n">
        <x:f>COUNTIF('IT experts'!P6:P15,1)+COUNTIF(Clients!K6:K43,1)+COUNTIF(Samples!J6:J7,1)</x:f>
        <x:v>0</x:v>
      </x:c>
      <x:c r="H21" t="str">
        <x:v>Capacity</x:v>
      </x:c>
      <x:c r="I21" t="n">
        <x:v>10</x:v>
      </x:c>
      <x:c r="J21" t="n">
        <x:f>SUM(B25:F25)</x:f>
        <x:v>10</x:v>
      </x:c>
      <x:c r="K21" t="n">
        <x:f>I21-J21</x:f>
        <x:v>0</x:v>
      </x:c>
    </x:row>
    <x:row r="22" ht="22" customHeight="1">
      <x:c r="A22" s="16" t="str">
        <x:v>PERFORMANCE EFFICIENCY</x:v>
      </x:c>
      <x:c r="B22" s="17"/>
      <x:c r="C22" s="17"/>
      <x:c r="D22" s="17"/>
      <x:c r="E22" s="17"/>
      <x:c r="F22" s="17"/>
      <x:c r="H22" t="str">
        <x:v>Co-existence</x:v>
      </x:c>
      <x:c r="I22" t="n">
        <x:v>10</x:v>
      </x:c>
      <x:c r="J22" t="n">
        <x:f>SUM(B27:F27)</x:f>
        <x:v>10</x:v>
      </x:c>
      <x:c r="K22" t="n">
        <x:f>I22-J22</x:f>
        <x:v>0</x:v>
      </x:c>
    </x:row>
    <x:row r="23" ht="22" customHeight="1">
      <x:c r="A23" s="18" t="str">
        <x:v>Time behavior</x:v>
      </x:c>
      <x:c r="B23" s="19" t="n">
        <x:f>COUNTIF('IT experts'!F6:F15,5)</x:f>
        <x:v>6</x:v>
      </x:c>
      <x:c r="C23" s="19" t="n">
        <x:f>COUNTIF('IT experts'!F6:F15,4)</x:f>
        <x:v>3</x:v>
      </x:c>
      <x:c r="D23" s="19" t="n">
        <x:f>COUNTIF('IT experts'!F6:F15,3)</x:f>
        <x:v>1</x:v>
      </x:c>
      <x:c r="E23" s="19" t="n">
        <x:f>COUNTIF('IT experts'!F6:F15,2)</x:f>
        <x:v>0</x:v>
      </x:c>
      <x:c r="F23" s="19" t="n">
        <x:f>COUNTIF('IT experts'!F6:F15,1)</x:f>
        <x:v>0</x:v>
      </x:c>
      <x:c r="H23" t="str">
        <x:v>Interoperability</x:v>
      </x:c>
      <x:c r="I23" t="n">
        <x:v>10</x:v>
      </x:c>
      <x:c r="J23" t="n">
        <x:f>SUM(B28:F28)</x:f>
        <x:v>10</x:v>
      </x:c>
      <x:c r="K23" t="n">
        <x:f>I23-J23</x:f>
        <x:v>0</x:v>
      </x:c>
    </x:row>
    <x:row r="24" ht="22" customHeight="1">
      <x:c r="A24" s="18" t="str">
        <x:v>Resource utilization</x:v>
      </x:c>
      <x:c r="B24" s="19" t="n">
        <x:f>COUNTIF('IT experts'!G6:G15,5)</x:f>
        <x:v>7</x:v>
      </x:c>
      <x:c r="C24" s="19" t="n">
        <x:f>COUNTIF('IT experts'!G6:G15,4)</x:f>
        <x:v>3</x:v>
      </x:c>
      <x:c r="D24" s="19" t="n">
        <x:f>COUNTIF('IT experts'!G6:G15,3)</x:f>
        <x:v>0</x:v>
      </x:c>
      <x:c r="E24" s="19" t="n">
        <x:f>COUNTIF('IT experts'!G6:G15,2)</x:f>
        <x:v>0</x:v>
      </x:c>
      <x:c r="F24" s="19" t="n">
        <x:f>COUNTIF('IT experts'!G6:G15,1)</x:f>
        <x:v>0</x:v>
      </x:c>
      <x:c r="H24" t="str">
        <x:v>Integrity</x:v>
      </x:c>
      <x:c r="I24" t="n">
        <x:v>10</x:v>
      </x:c>
      <x:c r="J24" t="n">
        <x:f>SUM(B30:F30)</x:f>
        <x:v>10</x:v>
      </x:c>
      <x:c r="K24" t="n">
        <x:f>I24-J24</x:f>
        <x:v>0</x:v>
      </x:c>
    </x:row>
    <x:row r="25" ht="22" customHeight="1">
      <x:c r="A25" s="18" t="str">
        <x:v>Capacity</x:v>
      </x:c>
      <x:c r="B25" s="19" t="n">
        <x:f>COUNTIF('IT experts'!H6:H15,5)</x:f>
        <x:v>6</x:v>
      </x:c>
      <x:c r="C25" s="19" t="n">
        <x:f>COUNTIF('IT experts'!H6:H15,4)</x:f>
        <x:v>2</x:v>
      </x:c>
      <x:c r="D25" s="19" t="n">
        <x:f>COUNTIF('IT experts'!H6:H15,3)</x:f>
        <x:v>2</x:v>
      </x:c>
      <x:c r="E25" s="19" t="n">
        <x:f>COUNTIF('IT experts'!H6:H15,2)</x:f>
        <x:v>0</x:v>
      </x:c>
      <x:c r="F25" s="19" t="n">
        <x:f>COUNTIF('IT experts'!H6:H15,1)</x:f>
        <x:v>0</x:v>
      </x:c>
      <x:c r="H25" t="str">
        <x:v>Authenticity</x:v>
      </x:c>
      <x:c r="I25" t="n">
        <x:v>10</x:v>
      </x:c>
      <x:c r="J25" t="n">
        <x:f>SUM(B31:F31)</x:f>
        <x:v>10</x:v>
      </x:c>
      <x:c r="K25" t="n">
        <x:f>I25-J25</x:f>
        <x:v>0</x:v>
      </x:c>
    </x:row>
    <x:row r="26" ht="22" customHeight="1">
      <x:c r="A26" s="16" t="str">
        <x:v>COMPATIBILITY</x:v>
      </x:c>
      <x:c r="B26" s="17"/>
      <x:c r="C26" s="17"/>
      <x:c r="D26" s="17"/>
      <x:c r="E26" s="17"/>
      <x:c r="F26" s="17"/>
      <x:c r="H26" t="str">
        <x:v>Modularity</x:v>
      </x:c>
      <x:c r="I26" t="n">
        <x:v>10</x:v>
      </x:c>
      <x:c r="J26" t="n">
        <x:f>SUM(B33:F33)</x:f>
        <x:v>10</x:v>
      </x:c>
      <x:c r="K26" t="n">
        <x:f>I26-J26</x:f>
        <x:v>0</x:v>
      </x:c>
    </x:row>
    <x:row r="27" ht="22" customHeight="1">
      <x:c r="A27" s="18" t="str">
        <x:v>Co-existence</x:v>
      </x:c>
      <x:c r="B27" s="19" t="n">
        <x:f>COUNTIF('IT experts'!I6:I15,5)</x:f>
        <x:v>5</x:v>
      </x:c>
      <x:c r="C27" s="19" t="n">
        <x:f>COUNTIF('IT experts'!I6:I15,4)</x:f>
        <x:v>4</x:v>
      </x:c>
      <x:c r="D27" s="19" t="n">
        <x:f>COUNTIF('IT experts'!I6:I15,3)</x:f>
        <x:v>1</x:v>
      </x:c>
      <x:c r="E27" s="19" t="n">
        <x:f>COUNTIF('IT experts'!I6:I15,2)</x:f>
        <x:v>0</x:v>
      </x:c>
      <x:c r="F27" s="19" t="n">
        <x:f>COUNTIF('IT experts'!I6:I15,1)</x:f>
        <x:v>0</x:v>
      </x:c>
      <x:c r="H27" t="str">
        <x:v>Reusability</x:v>
      </x:c>
      <x:c r="I27" t="n">
        <x:v>10</x:v>
      </x:c>
      <x:c r="J27" t="n">
        <x:f>SUM(B34:F34)</x:f>
        <x:v>10</x:v>
      </x:c>
      <x:c r="K27" t="n">
        <x:f>I27-J27</x:f>
        <x:v>0</x:v>
      </x:c>
    </x:row>
    <x:row r="28" ht="22" customHeight="1">
      <x:c r="A28" s="18" t="str">
        <x:v>Interoperability</x:v>
      </x:c>
      <x:c r="B28" s="19" t="n">
        <x:f>COUNTIF('IT experts'!J6:J15,5)</x:f>
        <x:v>4</x:v>
      </x:c>
      <x:c r="C28" s="19" t="n">
        <x:f>COUNTIF('IT experts'!J6:J15,4)</x:f>
        <x:v>5</x:v>
      </x:c>
      <x:c r="D28" s="19" t="n">
        <x:f>COUNTIF('IT experts'!J6:J15,3)</x:f>
        <x:v>1</x:v>
      </x:c>
      <x:c r="E28" s="19" t="n">
        <x:f>COUNTIF('IT experts'!J6:J15,2)</x:f>
        <x:v>0</x:v>
      </x:c>
      <x:c r="F28" s="19" t="n">
        <x:f>COUNTIF('IT experts'!J6:J15,1)</x:f>
        <x:v>0</x:v>
      </x:c>
      <x:c r="H28" t="str">
        <x:v>Analyzability</x:v>
      </x:c>
      <x:c r="I28" t="n">
        <x:v>10</x:v>
      </x:c>
      <x:c r="J28" t="n">
        <x:f>SUM(B35:F35)</x:f>
        <x:v>10</x:v>
      </x:c>
      <x:c r="K28" t="n">
        <x:f>I28-J28</x:f>
        <x:v>0</x:v>
      </x:c>
    </x:row>
    <x:row r="29" ht="22" customHeight="1">
      <x:c r="A29" s="16" t="str">
        <x:v>SECURITY</x:v>
      </x:c>
      <x:c r="B29" s="17"/>
      <x:c r="C29" s="17"/>
      <x:c r="D29" s="17"/>
      <x:c r="E29" s="17"/>
      <x:c r="F29" s="17"/>
      <x:c r="H29" t="str">
        <x:v>Modifiability</x:v>
      </x:c>
      <x:c r="I29" t="n">
        <x:v>10</x:v>
      </x:c>
      <x:c r="J29" t="n">
        <x:f>SUM(B36:F36)</x:f>
        <x:v>10</x:v>
      </x:c>
      <x:c r="K29" t="n">
        <x:f>I29-J29</x:f>
        <x:v>0</x:v>
      </x:c>
    </x:row>
    <x:row r="30" ht="22" customHeight="1">
      <x:c r="A30" s="18" t="str">
        <x:v>Integrity</x:v>
      </x:c>
      <x:c r="B30" s="19" t="n">
        <x:f>COUNTIF('IT experts'!V6:V15,5)</x:f>
        <x:v>7</x:v>
      </x:c>
      <x:c r="C30" s="19" t="n">
        <x:f>COUNTIF('IT experts'!V6:V15,4)</x:f>
        <x:v>2</x:v>
      </x:c>
      <x:c r="D30" s="19" t="n">
        <x:f>COUNTIF('IT experts'!V6:V15,3)</x:f>
        <x:v>1</x:v>
      </x:c>
      <x:c r="E30" s="19" t="n">
        <x:f>COUNTIF('IT experts'!V6:V15,2)</x:f>
        <x:v>0</x:v>
      </x:c>
      <x:c r="F30" s="19" t="n">
        <x:f>COUNTIF('IT experts'!V6:V15,1)</x:f>
        <x:v>0</x:v>
      </x:c>
      <x:c r="H30" t="str">
        <x:v>Testability</x:v>
      </x:c>
      <x:c r="I30" t="n">
        <x:v>10</x:v>
      </x:c>
      <x:c r="J30" t="n">
        <x:f>SUM(B37:F37)</x:f>
        <x:v>10</x:v>
      </x:c>
      <x:c r="K30" t="n">
        <x:f>I30-J30</x:f>
        <x:v>0</x:v>
      </x:c>
    </x:row>
    <x:row r="31" ht="22" customHeight="1">
      <x:c r="A31" s="18" t="str">
        <x:v>Authenticity</x:v>
      </x:c>
      <x:c r="B31" s="19" t="n">
        <x:f>COUNTIF('IT experts'!Y6:Y15,5)</x:f>
        <x:v>6</x:v>
      </x:c>
      <x:c r="C31" s="19" t="n">
        <x:f>COUNTIF('IT experts'!Y6:Y15,4)</x:f>
        <x:v>4</x:v>
      </x:c>
      <x:c r="D31" s="19" t="n">
        <x:f>COUNTIF('IT experts'!Y6:Y15,3)</x:f>
        <x:v>0</x:v>
      </x:c>
      <x:c r="E31" s="19" t="n">
        <x:f>COUNTIF('IT experts'!Y6:Y15,2)</x:f>
        <x:v>0</x:v>
      </x:c>
      <x:c r="F31" s="19" t="n">
        <x:f>COUNTIF('IT experts'!Y6:Y15,1)</x:f>
        <x:v>0</x:v>
      </x:c>
    </x:row>
    <x:row r="32" ht="22" customHeight="1">
      <x:c r="A32" s="16" t="str">
        <x:v>MAINTAINABILITY</x:v>
      </x:c>
      <x:c r="B32" s="17"/>
      <x:c r="C32" s="17"/>
      <x:c r="D32" s="17"/>
      <x:c r="E32" s="17"/>
      <x:c r="F32" s="17"/>
    </x:row>
    <x:row r="33" ht="22" customHeight="1">
      <x:c r="A33" s="18" t="str">
        <x:v>Modularity</x:v>
      </x:c>
      <x:c r="B33" s="19" t="n">
        <x:f>COUNTIF('IT experts'!Z6:Z15,5)</x:f>
        <x:v>6</x:v>
      </x:c>
      <x:c r="C33" s="19" t="n">
        <x:f>COUNTIF('IT experts'!Z6:Z15,4)</x:f>
        <x:v>4</x:v>
      </x:c>
      <x:c r="D33" s="19" t="n">
        <x:f>COUNTIF('IT experts'!Z6:Z15,3)</x:f>
        <x:v>0</x:v>
      </x:c>
      <x:c r="E33" s="19" t="n">
        <x:f>COUNTIF('IT experts'!Z6:Z15,2)</x:f>
        <x:v>0</x:v>
      </x:c>
      <x:c r="F33" s="19" t="n">
        <x:f>COUNTIF('IT experts'!Z6:Z15,1)</x:f>
        <x:v>0</x:v>
      </x:c>
    </x:row>
    <x:row r="34" ht="22" customHeight="1">
      <x:c r="A34" s="18" t="str">
        <x:v>Reusability</x:v>
      </x:c>
      <x:c r="B34" s="19" t="n">
        <x:f>COUNTIF('IT experts'!AA6:AA15,5)</x:f>
        <x:v>6</x:v>
      </x:c>
      <x:c r="C34" s="19" t="n">
        <x:f>COUNTIF('IT experts'!AA6:AA15,4)</x:f>
        <x:v>4</x:v>
      </x:c>
      <x:c r="D34" s="19" t="n">
        <x:f>COUNTIF('IT experts'!AA6:AA15,3)</x:f>
        <x:v>0</x:v>
      </x:c>
      <x:c r="E34" s="19" t="n">
        <x:f>COUNTIF('IT experts'!AA6:AA15,2)</x:f>
        <x:v>0</x:v>
      </x:c>
      <x:c r="F34" s="19" t="n">
        <x:f>COUNTIF('IT experts'!AA6:AA15,1)</x:f>
        <x:v>0</x:v>
      </x:c>
    </x:row>
    <x:row r="35" ht="22" customHeight="1">
      <x:c r="A35" s="18" t="str">
        <x:v>Analyzability</x:v>
      </x:c>
      <x:c r="B35" s="19" t="n">
        <x:f>COUNTIF('IT experts'!AB6:AB15,5)</x:f>
        <x:v>6</x:v>
      </x:c>
      <x:c r="C35" s="19" t="n">
        <x:f>COUNTIF('IT experts'!AB6:AB15,4)</x:f>
        <x:v>3</x:v>
      </x:c>
      <x:c r="D35" s="19" t="n">
        <x:f>COUNTIF('IT experts'!AB6:AB15,3)</x:f>
        <x:v>1</x:v>
      </x:c>
      <x:c r="E35" s="19" t="n">
        <x:f>COUNTIF('IT experts'!AB6:AB15,2)</x:f>
        <x:v>0</x:v>
      </x:c>
      <x:c r="F35" s="19" t="n">
        <x:f>COUNTIF('IT experts'!AB6:AB15,1)</x:f>
        <x:v>0</x:v>
      </x:c>
    </x:row>
    <x:row r="36" ht="22" customHeight="1">
      <x:c r="A36" s="18" t="str">
        <x:v>Modifiability</x:v>
      </x:c>
      <x:c r="B36" s="19" t="n">
        <x:f>COUNTIF('IT experts'!AC6:AC15,5)</x:f>
        <x:v>6</x:v>
      </x:c>
      <x:c r="C36" s="19" t="n">
        <x:f>COUNTIF('IT experts'!AC6:AC15,4)</x:f>
        <x:v>3</x:v>
      </x:c>
      <x:c r="D36" s="19" t="n">
        <x:f>COUNTIF('IT experts'!AC6:AC15,3)</x:f>
        <x:v>1</x:v>
      </x:c>
      <x:c r="E36" s="19" t="n">
        <x:f>COUNTIF('IT experts'!AC6:AC15,2)</x:f>
        <x:v>0</x:v>
      </x:c>
      <x:c r="F36" s="19" t="n">
        <x:f>COUNTIF('IT experts'!AC6:AC15,1)</x:f>
        <x:v>0</x:v>
      </x:c>
    </x:row>
    <x:row r="37" ht="22" customHeight="1">
      <x:c r="A37" s="18" t="str">
        <x:v>Testability</x:v>
      </x:c>
      <x:c r="B37" s="19" t="n">
        <x:f>COUNTIF('IT experts'!AD6:AD15,5)</x:f>
        <x:v>7</x:v>
      </x:c>
      <x:c r="C37" s="19" t="n">
        <x:f>COUNTIF('IT experts'!AD6:AD15,4)</x:f>
        <x:v>2</x:v>
      </x:c>
      <x:c r="D37" s="19" t="n">
        <x:f>COUNTIF('IT experts'!AD6:AD15,3)</x:f>
        <x:v>1</x:v>
      </x:c>
      <x:c r="E37" s="19" t="n">
        <x:f>COUNTIF('IT experts'!AD6:AD15,2)</x:f>
        <x:v>0</x:v>
      </x:c>
      <x:c r="F37" s="19" t="n">
        <x:f>COUNTIF('IT experts'!AD6:AD15,1)</x:f>
        <x:v>0</x:v>
      </x:c>
    </x:row>
    <x:row r="38" ht="22" customHeight="1">
      <x:c r="A38" s="1"/>
      <x:c r="B38" s="1"/>
      <x:c r="C38" s="1"/>
      <x:c r="D38" s="1"/>
      <x:c r="E38" s="1"/>
      <x:c r="F38" s="1"/>
    </x:row>
    <x:row r="39">
      <x:c r="A39" t="str">
        <x:v>Reference headers retained: Fair corresponds to rating 2; Poor to rating 1.</x:v>
      </x:c>
    </x:row>
    <x:row r="40">
      <x:c r="A40" t="str">
        <x:v>Paper labels for ratings 2 and 1 are Poor and Very Poor respectively.</x:v>
      </x:c>
    </x:row>
  </x:sheetData>
  <x:mergeCells>
    <x:mergeCell ref="A1:F1"/>
    <x:mergeCell ref="A2:F2"/>
    <x:mergeCell ref="A3:F3"/>
    <x:mergeCell ref="A39:F39"/>
    <x:mergeCell ref="A40:F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55" hidden="0" customWidth="1"/>
  </x:cols>
  <x:sheetData>
    <x:row r="1" ht="22" customHeight="1">
      <x:c r="A1" s="2" t="str">
        <x:v>Clients — provisional transcription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2" customHeight="1">
      <x:c r="A2" s="1" t="str">
        <x:v>All entries need review against source photos; blank means unresolved, never zero.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2" customHeight="1">
      <x:c r="A4" s="1" t="str">
        <x:v>Scale: 5 Excellent | 4 Very Good | 3 Good | 2 Poor | 1 Very Poor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90" customHeight="1">
      <x:c r="A5" s="4" t="str">
        <x:v>ID</x:v>
      </x:c>
      <x:c r="B5" s="4" t="str">
        <x:v>Source photo</x:v>
      </x:c>
      <x:c r="C5" s="5" t="str">
        <x:v>Q1 Functional completeness</x:v>
      </x:c>
      <x:c r="D5" s="5" t="str">
        <x:v>Q2 Functional correctness</x:v>
      </x:c>
      <x:c r="E5" s="5" t="str">
        <x:v>Q3 Functional appropriateness</x:v>
      </x:c>
      <x:c r="F5" s="5" t="str">
        <x:v>Q4 Appropriateness recognizability</x:v>
      </x:c>
      <x:c r="G5" s="5" t="str">
        <x:v>Q5 Learnability</x:v>
      </x:c>
      <x:c r="H5" s="5" t="str">
        <x:v>Q6 Operability</x:v>
      </x:c>
      <x:c r="I5" s="5" t="str">
        <x:v>Q7 User error protection</x:v>
      </x:c>
      <x:c r="J5" s="5" t="str">
        <x:v>Q8 User interface aesthetics</x:v>
      </x:c>
      <x:c r="K5" s="5" t="str">
        <x:v>Q9 Accessibility</x:v>
      </x:c>
      <x:c r="L5" s="5" t="str">
        <x:v>Q10 Maturity</x:v>
      </x:c>
      <x:c r="M5" s="5" t="str">
        <x:v>Q11 Availability</x:v>
      </x:c>
      <x:c r="N5" s="5" t="str">
        <x:v>Q12 Fault tolerance</x:v>
      </x:c>
      <x:c r="O5" s="5" t="str">
        <x:v>Q13 Recoverability</x:v>
      </x:c>
      <x:c r="P5" s="4" t="str">
        <x:v>Review notes</x:v>
      </x:c>
    </x:row>
    <x:row r="6" ht="22" customHeight="1">
      <x:c r="A6" s="1" t="str">
        <x:v>C01</x:v>
      </x:c>
      <x:c r="B6" s="1" t="str">
        <x:v>photo_21</x:v>
      </x:c>
      <x:c r="C6" s="1" t="n">
        <x:v>5</x:v>
      </x:c>
      <x:c r="D6" s="1" t="n">
        <x:v>5</x:v>
      </x:c>
      <x:c r="E6" s="1" t="n">
        <x:v>5</x:v>
      </x:c>
      <x:c r="F6" s="1" t="n">
        <x:v>5</x:v>
      </x:c>
      <x:c r="G6" s="1" t="n">
        <x:v>5</x:v>
      </x:c>
      <x:c r="H6" s="1" t="n">
        <x:v>4</x:v>
      </x:c>
      <x:c r="I6" s="1" t="n">
        <x:v>4</x:v>
      </x:c>
      <x:c r="J6" s="1"/>
      <x:c r="K6" s="1" t="n">
        <x:v>5</x:v>
      </x:c>
      <x:c r="L6" s="1"/>
      <x:c r="M6" s="1" t="n">
        <x:v>5</x:v>
      </x:c>
      <x:c r="N6" s="1" t="n">
        <x:v>5</x:v>
      </x:c>
      <x:c r="O6" s="1" t="n">
        <x:v>5</x:v>
      </x:c>
      <x:c r="P6" s="3" t="str">
        <x:v>Provisional. Unresolved: Q8, Q10</x:v>
      </x:c>
    </x:row>
    <x:row r="7" ht="22" customHeight="1">
      <x:c r="A7" s="1" t="str">
        <x:v>C02</x:v>
      </x:c>
      <x:c r="B7" s="1" t="str">
        <x:v>photo_22</x:v>
      </x:c>
      <x:c r="C7" s="1" t="n">
        <x:v>5</x:v>
      </x:c>
      <x:c r="D7" s="1" t="n">
        <x:v>5</x:v>
      </x:c>
      <x:c r="E7" s="1" t="n">
        <x:v>5</x:v>
      </x:c>
      <x:c r="F7" s="1" t="n">
        <x:v>5</x:v>
      </x:c>
      <x:c r="G7" s="1" t="n">
        <x:v>5</x:v>
      </x:c>
      <x:c r="H7" s="1" t="n">
        <x:v>5</x:v>
      </x:c>
      <x:c r="I7" s="1" t="n">
        <x:v>5</x:v>
      </x:c>
      <x:c r="J7" s="1" t="n">
        <x:v>5</x:v>
      </x:c>
      <x:c r="K7" s="1" t="n">
        <x:v>5</x:v>
      </x:c>
      <x:c r="L7" s="1" t="n">
        <x:v>5</x:v>
      </x:c>
      <x:c r="M7" s="1" t="n">
        <x:v>5</x:v>
      </x:c>
      <x:c r="N7" s="1" t="n">
        <x:v>5</x:v>
      </x:c>
      <x:c r="O7" s="1" t="n">
        <x:v>5</x:v>
      </x:c>
      <x:c r="P7" s="3" t="str">
        <x:v>Provisional. Unresolved: none flagged; verify all marks</x:v>
      </x:c>
    </x:row>
    <x:row r="8" ht="22" customHeight="1">
      <x:c r="A8" s="1" t="str">
        <x:v>C03</x:v>
      </x:c>
      <x:c r="B8" s="1" t="str">
        <x:v>photo_23</x:v>
      </x:c>
      <x:c r="C8" s="1" t="n">
        <x:v>5</x:v>
      </x:c>
      <x:c r="D8" s="1" t="n">
        <x:v>5</x:v>
      </x:c>
      <x:c r="E8" s="1" t="n">
        <x:v>4</x:v>
      </x:c>
      <x:c r="F8" s="1" t="n">
        <x:v>3</x:v>
      </x:c>
      <x:c r="G8" s="1"/>
      <x:c r="H8" s="1" t="n">
        <x:v>2</x:v>
      </x:c>
      <x:c r="I8" s="1" t="n">
        <x:v>3</x:v>
      </x:c>
      <x:c r="J8" s="1" t="n">
        <x:v>5</x:v>
      </x:c>
      <x:c r="K8" s="1"/>
      <x:c r="L8" s="1" t="n">
        <x:v>3</x:v>
      </x:c>
      <x:c r="M8" s="1" t="n">
        <x:v>5</x:v>
      </x:c>
      <x:c r="N8" s="1" t="n">
        <x:v>4</x:v>
      </x:c>
      <x:c r="O8" s="1"/>
      <x:c r="P8" s="3" t="str">
        <x:v>Provisional. Unresolved: Q5, Q9, Q13</x:v>
      </x:c>
    </x:row>
    <x:row r="9" ht="22" customHeight="1">
      <x:c r="A9" s="1" t="str">
        <x:v>C04</x:v>
      </x:c>
      <x:c r="B9" s="1" t="str">
        <x:v>photo_24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3" t="str">
        <x:v>Provisional. Unresolved: Q1, Q2, Q3, Q4, Q5, Q6, Q7, Q8, Q9, Q10, Q11, Q12, Q13</x:v>
      </x:c>
    </x:row>
    <x:row r="10" ht="22" customHeight="1">
      <x:c r="A10" s="1" t="str">
        <x:v>C05</x:v>
      </x:c>
      <x:c r="B10" s="1" t="str">
        <x:v>photo_25</x:v>
      </x:c>
      <x:c r="C10" s="1" t="n">
        <x:v>3</x:v>
      </x:c>
      <x:c r="D10" s="1" t="n">
        <x:v>2</x:v>
      </x:c>
      <x:c r="E10" s="1" t="n">
        <x:v>2</x:v>
      </x:c>
      <x:c r="F10" s="1" t="n">
        <x:v>1</x:v>
      </x:c>
      <x:c r="G10" s="1" t="n">
        <x:v>1</x:v>
      </x:c>
      <x:c r="H10" s="1" t="n">
        <x:v>1</x:v>
      </x:c>
      <x:c r="I10" s="1" t="n">
        <x:v>1</x:v>
      </x:c>
      <x:c r="J10" s="1" t="n">
        <x:v>1</x:v>
      </x:c>
      <x:c r="K10" s="1" t="n">
        <x:v>2</x:v>
      </x:c>
      <x:c r="L10" s="1" t="n">
        <x:v>3</x:v>
      </x:c>
      <x:c r="M10" s="1" t="n">
        <x:v>3</x:v>
      </x:c>
      <x:c r="N10" s="1" t="n">
        <x:v>3</x:v>
      </x:c>
      <x:c r="O10" s="1" t="n">
        <x:v>3</x:v>
      </x:c>
      <x:c r="P10" s="3" t="str">
        <x:v>Provisional. Unresolved: none flagged; verify all marks</x:v>
      </x:c>
    </x:row>
    <x:row r="11" ht="22" customHeight="1">
      <x:c r="A11" s="1" t="str">
        <x:v>C06</x:v>
      </x:c>
      <x:c r="B11" s="1" t="str">
        <x:v>photo_26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3" t="str">
        <x:v>Provisional. Unresolved: Q1, Q2, Q3, Q4, Q5, Q6, Q7, Q8, Q9, Q10, Q11, Q12, Q13</x:v>
      </x:c>
    </x:row>
    <x:row r="12" ht="22" customHeight="1">
      <x:c r="A12" s="1" t="str">
        <x:v>C07</x:v>
      </x:c>
      <x:c r="B12" s="1" t="str">
        <x:v>photo_27</x:v>
      </x:c>
      <x:c r="C12" s="1"/>
      <x:c r="D12" s="1" t="n">
        <x:v>5</x:v>
      </x:c>
      <x:c r="E12" s="1" t="n">
        <x:v>5</x:v>
      </x:c>
      <x:c r="F12" s="1" t="n">
        <x:v>4</x:v>
      </x:c>
      <x:c r="G12" s="1"/>
      <x:c r="H12" s="1" t="n">
        <x:v>5</x:v>
      </x:c>
      <x:c r="I12" s="1" t="n">
        <x:v>3</x:v>
      </x:c>
      <x:c r="J12" s="1"/>
      <x:c r="K12" s="1"/>
      <x:c r="L12" s="1"/>
      <x:c r="M12" s="1"/>
      <x:c r="N12" s="1"/>
      <x:c r="O12" s="1"/>
      <x:c r="P12" s="3" t="str">
        <x:v>Provisional. Unresolved: Q1, Q5, Q8, Q9, Q10, Q11, Q12, Q13</x:v>
      </x:c>
    </x:row>
    <x:row r="13" ht="22" customHeight="1">
      <x:c r="A13" s="1" t="str">
        <x:v>C08</x:v>
      </x:c>
      <x:c r="B13" s="1" t="str">
        <x:v>photo_28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3" t="str">
        <x:v>Provisional. Unresolved: Q1, Q2, Q3, Q4, Q5, Q6, Q7, Q8, Q9, Q10, Q11, Q12, Q13</x:v>
      </x:c>
    </x:row>
    <x:row r="14" ht="22" customHeight="1">
      <x:c r="A14" s="1" t="str">
        <x:v>C09</x:v>
      </x:c>
      <x:c r="B14" s="1" t="str">
        <x:v>photo_29</x:v>
      </x:c>
      <x:c r="C14" s="1" t="n">
        <x:v>5</x:v>
      </x:c>
      <x:c r="D14" s="1" t="n">
        <x:v>5</x:v>
      </x:c>
      <x:c r="E14" s="1" t="n">
        <x:v>5</x:v>
      </x:c>
      <x:c r="F14" s="1" t="n">
        <x:v>4</x:v>
      </x:c>
      <x:c r="G14" s="1" t="n">
        <x:v>5</x:v>
      </x:c>
      <x:c r="H14" s="1" t="n">
        <x:v>5</x:v>
      </x:c>
      <x:c r="I14" s="1" t="n">
        <x:v>2</x:v>
      </x:c>
      <x:c r="J14" s="1" t="n">
        <x:v>4</x:v>
      </x:c>
      <x:c r="K14" s="1" t="n">
        <x:v>5</x:v>
      </x:c>
      <x:c r="L14" s="1"/>
      <x:c r="M14" s="1" t="n">
        <x:v>5</x:v>
      </x:c>
      <x:c r="N14" s="1" t="n">
        <x:v>5</x:v>
      </x:c>
      <x:c r="O14" s="1" t="n">
        <x:v>5</x:v>
      </x:c>
      <x:c r="P14" s="3" t="str">
        <x:v>Provisional. Unresolved: Q10</x:v>
      </x:c>
    </x:row>
    <x:row r="15" ht="22" customHeight="1">
      <x:c r="A15" s="1" t="str">
        <x:v>C10</x:v>
      </x:c>
      <x:c r="B15" s="1" t="str">
        <x:v>photo_30</x:v>
      </x:c>
      <x:c r="C15" s="1"/>
      <x:c r="D15" s="1"/>
      <x:c r="E15" s="1" t="n">
        <x:v>3</x:v>
      </x:c>
      <x:c r="F15" s="1" t="n">
        <x:v>3</x:v>
      </x:c>
      <x:c r="G15" s="1" t="n">
        <x:v>3</x:v>
      </x:c>
      <x:c r="H15" s="1" t="n">
        <x:v>3</x:v>
      </x:c>
      <x:c r="I15" s="1" t="n">
        <x:v>3</x:v>
      </x:c>
      <x:c r="J15" s="1"/>
      <x:c r="K15" s="1" t="n">
        <x:v>4</x:v>
      </x:c>
      <x:c r="L15" s="1" t="n">
        <x:v>3</x:v>
      </x:c>
      <x:c r="M15" s="1" t="n">
        <x:v>3</x:v>
      </x:c>
      <x:c r="N15" s="1" t="n">
        <x:v>4</x:v>
      </x:c>
      <x:c r="O15" s="1" t="n">
        <x:v>3</x:v>
      </x:c>
      <x:c r="P15" s="3" t="str">
        <x:v>Provisional. Unresolved: Q1, Q2, Q8</x:v>
      </x:c>
    </x:row>
    <x:row r="16" ht="22" customHeight="1">
      <x:c r="A16" s="1" t="str">
        <x:v>C11</x:v>
      </x:c>
      <x:c r="B16" s="1" t="str">
        <x:v>photo_31</x:v>
      </x:c>
      <x:c r="C16" s="1" t="n">
        <x:v>4</x:v>
      </x:c>
      <x:c r="D16" s="1"/>
      <x:c r="E16" s="1" t="n">
        <x:v>5</x:v>
      </x:c>
      <x:c r="F16" s="1" t="n">
        <x:v>4</x:v>
      </x:c>
      <x:c r="G16" s="1" t="n">
        <x:v>4</x:v>
      </x:c>
      <x:c r="H16" s="1" t="n">
        <x:v>4</x:v>
      </x:c>
      <x:c r="I16" s="1"/>
      <x:c r="J16" s="1" t="n">
        <x:v>5</x:v>
      </x:c>
      <x:c r="K16" s="1" t="n">
        <x:v>5</x:v>
      </x:c>
      <x:c r="L16" s="1"/>
      <x:c r="M16" s="1" t="n">
        <x:v>4</x:v>
      </x:c>
      <x:c r="N16" s="1" t="n">
        <x:v>5</x:v>
      </x:c>
      <x:c r="O16" s="1" t="n">
        <x:v>4</x:v>
      </x:c>
      <x:c r="P16" s="3" t="str">
        <x:v>Provisional. Unresolved: Q2, Q7, Q10</x:v>
      </x:c>
    </x:row>
    <x:row r="17" ht="22" customHeight="1">
      <x:c r="A17" s="1" t="str">
        <x:v>C12</x:v>
      </x:c>
      <x:c r="B17" s="1" t="str">
        <x:v>photo_32</x:v>
      </x:c>
      <x:c r="C17" s="1"/>
      <x:c r="D17" s="1"/>
      <x:c r="E17" s="1"/>
      <x:c r="F17" s="1"/>
      <x:c r="G17" s="1"/>
      <x:c r="H17" s="1"/>
      <x:c r="I17" s="1"/>
      <x:c r="J17" s="1" t="n">
        <x:v>4</x:v>
      </x:c>
      <x:c r="K17" s="1" t="n">
        <x:v>5</x:v>
      </x:c>
      <x:c r="L17" s="1"/>
      <x:c r="M17" s="1"/>
      <x:c r="N17" s="1"/>
      <x:c r="O17" s="1"/>
      <x:c r="P17" s="3" t="str">
        <x:v>Provisional. Unresolved: Q1, Q2, Q3, Q4, Q5, Q6, Q7, Q10, Q11, Q12, Q13</x:v>
      </x:c>
    </x:row>
    <x:row r="18" ht="22" customHeight="1">
      <x:c r="A18" s="1" t="str">
        <x:v>C13</x:v>
      </x:c>
      <x:c r="B18" s="1" t="str">
        <x:v>photo_33</x:v>
      </x:c>
      <x:c r="C18" s="1" t="n">
        <x:v>5</x:v>
      </x:c>
      <x:c r="D18" s="1" t="n">
        <x:v>5</x:v>
      </x:c>
      <x:c r="E18" s="1" t="n">
        <x:v>5</x:v>
      </x:c>
      <x:c r="F18" s="1" t="n">
        <x:v>5</x:v>
      </x:c>
      <x:c r="G18" s="1" t="n">
        <x:v>4</x:v>
      </x:c>
      <x:c r="H18" s="1" t="n">
        <x:v>5</x:v>
      </x:c>
      <x:c r="I18" s="1" t="n">
        <x:v>5</x:v>
      </x:c>
      <x:c r="J18" s="1" t="n">
        <x:v>5</x:v>
      </x:c>
      <x:c r="K18" s="1" t="n">
        <x:v>5</x:v>
      </x:c>
      <x:c r="L18" s="1" t="n">
        <x:v>3</x:v>
      </x:c>
      <x:c r="M18" s="1" t="n">
        <x:v>4</x:v>
      </x:c>
      <x:c r="N18" s="1" t="n">
        <x:v>4</x:v>
      </x:c>
      <x:c r="O18" s="1" t="n">
        <x:v>5</x:v>
      </x:c>
      <x:c r="P18" s="3" t="str">
        <x:v>Provisional. Unresolved: none flagged; verify all marks</x:v>
      </x:c>
    </x:row>
    <x:row r="19" ht="22" customHeight="1">
      <x:c r="A19" s="1" t="str">
        <x:v>C14</x:v>
      </x:c>
      <x:c r="B19" s="1" t="str">
        <x:v>photo_34</x:v>
      </x:c>
      <x:c r="C19" s="1" t="n">
        <x:v>4</x:v>
      </x:c>
      <x:c r="D19" s="1" t="n">
        <x:v>4</x:v>
      </x:c>
      <x:c r="E19" s="1" t="n">
        <x:v>5</x:v>
      </x:c>
      <x:c r="F19" s="1" t="n">
        <x:v>5</x:v>
      </x:c>
      <x:c r="G19" s="1" t="n">
        <x:v>5</x:v>
      </x:c>
      <x:c r="H19" s="1" t="n">
        <x:v>4</x:v>
      </x:c>
      <x:c r="I19" s="1" t="n">
        <x:v>3</x:v>
      </x:c>
      <x:c r="J19" s="1" t="n">
        <x:v>3</x:v>
      </x:c>
      <x:c r="K19" s="1" t="n">
        <x:v>5</x:v>
      </x:c>
      <x:c r="L19" s="1"/>
      <x:c r="M19" s="1" t="n">
        <x:v>4</x:v>
      </x:c>
      <x:c r="N19" s="1" t="n">
        <x:v>3</x:v>
      </x:c>
      <x:c r="O19" s="1" t="n">
        <x:v>4</x:v>
      </x:c>
      <x:c r="P19" s="3" t="str">
        <x:v>Provisional. Unresolved: Q10</x:v>
      </x:c>
    </x:row>
    <x:row r="20" ht="22" customHeight="1">
      <x:c r="A20" s="1" t="str">
        <x:v>C15</x:v>
      </x:c>
      <x:c r="B20" s="1" t="str">
        <x:v>photo_35</x:v>
      </x:c>
      <x:c r="C20" s="1" t="n">
        <x:v>4</x:v>
      </x:c>
      <x:c r="D20" s="1" t="n">
        <x:v>5</x:v>
      </x:c>
      <x:c r="E20" s="1" t="n">
        <x:v>5</x:v>
      </x:c>
      <x:c r="F20" s="1" t="n">
        <x:v>5</x:v>
      </x:c>
      <x:c r="G20" s="1" t="n">
        <x:v>4</x:v>
      </x:c>
      <x:c r="H20" s="1" t="n">
        <x:v>3</x:v>
      </x:c>
      <x:c r="I20" s="1"/>
      <x:c r="J20" s="1" t="n">
        <x:v>5</x:v>
      </x:c>
      <x:c r="K20" s="1" t="n">
        <x:v>5</x:v>
      </x:c>
      <x:c r="L20" s="1"/>
      <x:c r="M20" s="1" t="n">
        <x:v>4</x:v>
      </x:c>
      <x:c r="N20" s="1" t="n">
        <x:v>3</x:v>
      </x:c>
      <x:c r="O20" s="1" t="n">
        <x:v>4</x:v>
      </x:c>
      <x:c r="P20" s="3" t="str">
        <x:v>Provisional. Unresolved: Q7, Q10</x:v>
      </x:c>
    </x:row>
    <x:row r="21" ht="22" customHeight="1">
      <x:c r="A21" s="1" t="str">
        <x:v>C16</x:v>
      </x:c>
      <x:c r="B21" s="1" t="str">
        <x:v>photo_36</x:v>
      </x:c>
      <x:c r="C21" s="1" t="n">
        <x:v>5</x:v>
      </x:c>
      <x:c r="D21" s="1" t="n">
        <x:v>4</x:v>
      </x:c>
      <x:c r="E21" s="1" t="n">
        <x:v>5</x:v>
      </x:c>
      <x:c r="F21" s="1" t="n">
        <x:v>5</x:v>
      </x:c>
      <x:c r="G21" s="1" t="n">
        <x:v>5</x:v>
      </x:c>
      <x:c r="H21" s="1" t="n">
        <x:v>4</x:v>
      </x:c>
      <x:c r="I21" s="1" t="n">
        <x:v>5</x:v>
      </x:c>
      <x:c r="J21" s="1" t="n">
        <x:v>5</x:v>
      </x:c>
      <x:c r="K21" s="1" t="n">
        <x:v>5</x:v>
      </x:c>
      <x:c r="L21" s="1"/>
      <x:c r="M21" s="1" t="n">
        <x:v>5</x:v>
      </x:c>
      <x:c r="N21" s="1" t="n">
        <x:v>4</x:v>
      </x:c>
      <x:c r="O21" s="1" t="n">
        <x:v>5</x:v>
      </x:c>
      <x:c r="P21" s="3" t="str">
        <x:v>Provisional. Unresolved: Q10</x:v>
      </x:c>
    </x:row>
    <x:row r="22" ht="22" customHeight="1">
      <x:c r="A22" s="1" t="str">
        <x:v>C17</x:v>
      </x:c>
      <x:c r="B22" s="1" t="str">
        <x:v>photo_37</x:v>
      </x:c>
      <x:c r="C22" s="1" t="n">
        <x:v>5</x:v>
      </x:c>
      <x:c r="D22" s="1" t="n">
        <x:v>5</x:v>
      </x:c>
      <x:c r="E22" s="1" t="n">
        <x:v>5</x:v>
      </x:c>
      <x:c r="F22" s="1" t="n">
        <x:v>5</x:v>
      </x:c>
      <x:c r="G22" s="1" t="n">
        <x:v>5</x:v>
      </x:c>
      <x:c r="H22" s="1" t="n">
        <x:v>5</x:v>
      </x:c>
      <x:c r="I22" s="1" t="n">
        <x:v>4</x:v>
      </x:c>
      <x:c r="J22" s="1" t="n">
        <x:v>5</x:v>
      </x:c>
      <x:c r="K22" s="1" t="n">
        <x:v>5</x:v>
      </x:c>
      <x:c r="L22" s="1"/>
      <x:c r="M22" s="1" t="n">
        <x:v>5</x:v>
      </x:c>
      <x:c r="N22" s="1" t="n">
        <x:v>5</x:v>
      </x:c>
      <x:c r="O22" s="1" t="n">
        <x:v>5</x:v>
      </x:c>
      <x:c r="P22" s="3" t="str">
        <x:v>Provisional. Unresolved: Q10</x:v>
      </x:c>
    </x:row>
    <x:row r="23" ht="22" customHeight="1">
      <x:c r="A23" s="1" t="str">
        <x:v>C18</x:v>
      </x:c>
      <x:c r="B23" s="1" t="str">
        <x:v>photo_38</x:v>
      </x:c>
      <x:c r="C23" s="1" t="n">
        <x:v>5</x:v>
      </x:c>
      <x:c r="D23" s="1" t="n">
        <x:v>5</x:v>
      </x:c>
      <x:c r="E23" s="1" t="n">
        <x:v>5</x:v>
      </x:c>
      <x:c r="F23" s="1" t="n">
        <x:v>5</x:v>
      </x:c>
      <x:c r="G23" s="1" t="n">
        <x:v>5</x:v>
      </x:c>
      <x:c r="H23" s="1" t="n">
        <x:v>5</x:v>
      </x:c>
      <x:c r="I23" s="1" t="n">
        <x:v>5</x:v>
      </x:c>
      <x:c r="J23" s="1" t="n">
        <x:v>5</x:v>
      </x:c>
      <x:c r="K23" s="1" t="n">
        <x:v>5</x:v>
      </x:c>
      <x:c r="L23" s="1"/>
      <x:c r="M23" s="1" t="n">
        <x:v>5</x:v>
      </x:c>
      <x:c r="N23" s="1" t="n">
        <x:v>5</x:v>
      </x:c>
      <x:c r="O23" s="1" t="n">
        <x:v>5</x:v>
      </x:c>
      <x:c r="P23" s="3" t="str">
        <x:v>Provisional. Unresolved: Q10</x:v>
      </x:c>
    </x:row>
    <x:row r="24" ht="22" customHeight="1">
      <x:c r="A24" s="1" t="str">
        <x:v>C19</x:v>
      </x:c>
      <x:c r="B24" s="1" t="str">
        <x:v>photo_39</x:v>
      </x:c>
      <x:c r="C24" s="1" t="n">
        <x:v>5</x:v>
      </x:c>
      <x:c r="D24" s="1" t="n">
        <x:v>5</x:v>
      </x:c>
      <x:c r="E24" s="1" t="n">
        <x:v>5</x:v>
      </x:c>
      <x:c r="F24" s="1" t="n">
        <x:v>4</x:v>
      </x:c>
      <x:c r="G24" s="1" t="n">
        <x:v>4</x:v>
      </x:c>
      <x:c r="H24" s="1" t="n">
        <x:v>5</x:v>
      </x:c>
      <x:c r="I24" s="1" t="n">
        <x:v>4</x:v>
      </x:c>
      <x:c r="J24" s="1" t="n">
        <x:v>4</x:v>
      </x:c>
      <x:c r="K24" s="1" t="n">
        <x:v>5</x:v>
      </x:c>
      <x:c r="L24" s="1"/>
      <x:c r="M24" s="1"/>
      <x:c r="N24" s="1" t="n">
        <x:v>4</x:v>
      </x:c>
      <x:c r="O24" s="1" t="n">
        <x:v>4</x:v>
      </x:c>
      <x:c r="P24" s="3" t="str">
        <x:v>Provisional. Unresolved: Q10, Q11</x:v>
      </x:c>
    </x:row>
    <x:row r="25" ht="22" customHeight="1">
      <x:c r="A25" s="1" t="str">
        <x:v>C20</x:v>
      </x:c>
      <x:c r="B25" s="1" t="str">
        <x:v>photo_40</x:v>
      </x:c>
      <x:c r="C25" s="1" t="n">
        <x:v>4</x:v>
      </x:c>
      <x:c r="D25" s="1" t="n">
        <x:v>4</x:v>
      </x:c>
      <x:c r="E25" s="1" t="n">
        <x:v>5</x:v>
      </x:c>
      <x:c r="F25" s="1" t="n">
        <x:v>5</x:v>
      </x:c>
      <x:c r="G25" s="1" t="n">
        <x:v>5</x:v>
      </x:c>
      <x:c r="H25" s="1" t="n">
        <x:v>5</x:v>
      </x:c>
      <x:c r="I25" s="1" t="n">
        <x:v>3</x:v>
      </x:c>
      <x:c r="J25" s="1" t="n">
        <x:v>4</x:v>
      </x:c>
      <x:c r="K25" s="1" t="n">
        <x:v>5</x:v>
      </x:c>
      <x:c r="L25" s="1"/>
      <x:c r="M25" s="1" t="n">
        <x:v>4</x:v>
      </x:c>
      <x:c r="N25" s="1" t="n">
        <x:v>4</x:v>
      </x:c>
      <x:c r="O25" s="1" t="n">
        <x:v>5</x:v>
      </x:c>
      <x:c r="P25" s="3" t="str">
        <x:v>Provisional. Unresolved: Q10</x:v>
      </x:c>
    </x:row>
    <x:row r="26" ht="22" customHeight="1">
      <x:c r="A26" s="1" t="str">
        <x:v>C21</x:v>
      </x:c>
      <x:c r="B26" s="1" t="str">
        <x:v>photo_41</x:v>
      </x:c>
      <x:c r="C26" s="1" t="n">
        <x:v>3</x:v>
      </x:c>
      <x:c r="D26" s="1" t="n">
        <x:v>3</x:v>
      </x:c>
      <x:c r="E26" s="1" t="n">
        <x:v>3</x:v>
      </x:c>
      <x:c r="F26" s="1" t="n">
        <x:v>2</x:v>
      </x:c>
      <x:c r="G26" s="1" t="n">
        <x:v>2</x:v>
      </x:c>
      <x:c r="H26" s="1" t="n">
        <x:v>2</x:v>
      </x:c>
      <x:c r="I26" s="1" t="n">
        <x:v>3</x:v>
      </x:c>
      <x:c r="J26" s="1" t="n">
        <x:v>3</x:v>
      </x:c>
      <x:c r="K26" s="1" t="n">
        <x:v>3</x:v>
      </x:c>
      <x:c r="L26" s="1"/>
      <x:c r="M26" s="1" t="n">
        <x:v>3</x:v>
      </x:c>
      <x:c r="N26" s="1" t="n">
        <x:v>2</x:v>
      </x:c>
      <x:c r="O26" s="1" t="n">
        <x:v>2</x:v>
      </x:c>
      <x:c r="P26" s="3" t="str">
        <x:v>Provisional. Unresolved: Q10</x:v>
      </x:c>
    </x:row>
    <x:row r="27" ht="22" customHeight="1">
      <x:c r="A27" s="1" t="str">
        <x:v>C22</x:v>
      </x:c>
      <x:c r="B27" s="1" t="str">
        <x:v>photo_42</x:v>
      </x:c>
      <x:c r="C27" s="1" t="n">
        <x:v>3</x:v>
      </x:c>
      <x:c r="D27" s="1" t="n">
        <x:v>3</x:v>
      </x:c>
      <x:c r="E27" s="1" t="n">
        <x:v>3</x:v>
      </x:c>
      <x:c r="F27" s="1" t="n">
        <x:v>4</x:v>
      </x:c>
      <x:c r="G27" s="1" t="n">
        <x:v>4</x:v>
      </x:c>
      <x:c r="H27" s="1" t="n">
        <x:v>4</x:v>
      </x:c>
      <x:c r="I27" s="1" t="n">
        <x:v>3</x:v>
      </x:c>
      <x:c r="J27" s="1" t="n">
        <x:v>3</x:v>
      </x:c>
      <x:c r="K27" s="1" t="n">
        <x:v>4</x:v>
      </x:c>
      <x:c r="L27" s="1"/>
      <x:c r="M27" s="1" t="n">
        <x:v>4</x:v>
      </x:c>
      <x:c r="N27" s="1" t="n">
        <x:v>3</x:v>
      </x:c>
      <x:c r="O27" s="1" t="n">
        <x:v>3</x:v>
      </x:c>
      <x:c r="P27" s="3" t="str">
        <x:v>Provisional. Unresolved: Q10</x:v>
      </x:c>
    </x:row>
    <x:row r="28" ht="22" customHeight="1">
      <x:c r="A28" s="1" t="str">
        <x:v>C23</x:v>
      </x:c>
      <x:c r="B28" s="1" t="str">
        <x:v>photo_43</x:v>
      </x:c>
      <x:c r="C28" s="1" t="n">
        <x:v>4</x:v>
      </x:c>
      <x:c r="D28" s="1" t="n">
        <x:v>4</x:v>
      </x:c>
      <x:c r="E28" s="1" t="n">
        <x:v>4</x:v>
      </x:c>
      <x:c r="F28" s="1" t="n">
        <x:v>2</x:v>
      </x:c>
      <x:c r="G28" s="1" t="n">
        <x:v>2</x:v>
      </x:c>
      <x:c r="H28" s="1" t="n">
        <x:v>3</x:v>
      </x:c>
      <x:c r="I28" s="1" t="n">
        <x:v>4</x:v>
      </x:c>
      <x:c r="J28" s="1" t="n">
        <x:v>3</x:v>
      </x:c>
      <x:c r="K28" s="1" t="n">
        <x:v>3</x:v>
      </x:c>
      <x:c r="L28" s="1"/>
      <x:c r="M28" s="1" t="n">
        <x:v>2</x:v>
      </x:c>
      <x:c r="N28" s="1" t="n">
        <x:v>3</x:v>
      </x:c>
      <x:c r="O28" s="1" t="n">
        <x:v>3</x:v>
      </x:c>
      <x:c r="P28" s="3" t="str">
        <x:v>Provisional. Unresolved: Q10</x:v>
      </x:c>
    </x:row>
    <x:row r="29" ht="22" customHeight="1">
      <x:c r="A29" s="1" t="str">
        <x:v>C24</x:v>
      </x:c>
      <x:c r="B29" s="1" t="str">
        <x:v>photo_44</x:v>
      </x:c>
      <x:c r="C29" s="1"/>
      <x:c r="D29" s="1"/>
      <x:c r="E29" s="1"/>
      <x:c r="F29" s="1"/>
      <x:c r="G29" s="1" t="n">
        <x:v>5</x:v>
      </x:c>
      <x:c r="H29" s="1"/>
      <x:c r="I29" s="1"/>
      <x:c r="J29" s="1"/>
      <x:c r="K29" s="1"/>
      <x:c r="L29" s="1"/>
      <x:c r="M29" s="1" t="n">
        <x:v>5</x:v>
      </x:c>
      <x:c r="N29" s="1" t="n">
        <x:v>4</x:v>
      </x:c>
      <x:c r="O29" s="1"/>
      <x:c r="P29" s="3" t="str">
        <x:v>Provisional. Unresolved: Q1, Q2, Q3, Q4, Q6, Q7, Q8, Q9, Q10, Q13</x:v>
      </x:c>
    </x:row>
    <x:row r="30" ht="22" customHeight="1">
      <x:c r="A30" s="1" t="str">
        <x:v>C25</x:v>
      </x:c>
      <x:c r="B30" s="1" t="str">
        <x:v>photo_45</x:v>
      </x:c>
      <x:c r="C30" s="1" t="n">
        <x:v>5</x:v>
      </x:c>
      <x:c r="D30" s="1" t="n">
        <x:v>5</x:v>
      </x:c>
      <x:c r="E30" s="1" t="n">
        <x:v>5</x:v>
      </x:c>
      <x:c r="F30" s="1" t="n">
        <x:v>5</x:v>
      </x:c>
      <x:c r="G30" s="1" t="n">
        <x:v>5</x:v>
      </x:c>
      <x:c r="H30" s="1" t="n">
        <x:v>5</x:v>
      </x:c>
      <x:c r="I30" s="1" t="n">
        <x:v>4</x:v>
      </x:c>
      <x:c r="J30" s="1" t="n">
        <x:v>5</x:v>
      </x:c>
      <x:c r="K30" s="1" t="n">
        <x:v>5</x:v>
      </x:c>
      <x:c r="L30" s="1"/>
      <x:c r="M30" s="1" t="n">
        <x:v>5</x:v>
      </x:c>
      <x:c r="N30" s="1" t="n">
        <x:v>5</x:v>
      </x:c>
      <x:c r="O30" s="1" t="n">
        <x:v>5</x:v>
      </x:c>
      <x:c r="P30" s="3" t="str">
        <x:v>Provisional. Unresolved: Q10</x:v>
      </x:c>
    </x:row>
    <x:row r="31" ht="22" customHeight="1">
      <x:c r="A31" s="1" t="str">
        <x:v>C26</x:v>
      </x:c>
      <x:c r="B31" s="1" t="str">
        <x:v>photo_46</x:v>
      </x:c>
      <x:c r="C31" s="1" t="n">
        <x:v>5</x:v>
      </x:c>
      <x:c r="D31" s="1" t="n">
        <x:v>5</x:v>
      </x:c>
      <x:c r="E31" s="1" t="n">
        <x:v>4</x:v>
      </x:c>
      <x:c r="F31" s="1" t="n">
        <x:v>5</x:v>
      </x:c>
      <x:c r="G31" s="1" t="n">
        <x:v>5</x:v>
      </x:c>
      <x:c r="H31" s="1" t="n">
        <x:v>5</x:v>
      </x:c>
      <x:c r="I31" s="1" t="n">
        <x:v>3</x:v>
      </x:c>
      <x:c r="J31" s="1" t="n">
        <x:v>5</x:v>
      </x:c>
      <x:c r="K31" s="1" t="n">
        <x:v>4</x:v>
      </x:c>
      <x:c r="L31" s="1"/>
      <x:c r="M31" s="1" t="n">
        <x:v>5</x:v>
      </x:c>
      <x:c r="N31" s="1" t="n">
        <x:v>5</x:v>
      </x:c>
      <x:c r="O31" s="1" t="n">
        <x:v>3</x:v>
      </x:c>
      <x:c r="P31" s="3" t="str">
        <x:v>Provisional. Unresolved: Q10</x:v>
      </x:c>
    </x:row>
    <x:row r="32" ht="22" customHeight="1">
      <x:c r="A32" s="1" t="str">
        <x:v>C27</x:v>
      </x:c>
      <x:c r="B32" s="1" t="str">
        <x:v>photo_47</x:v>
      </x:c>
      <x:c r="C32" s="1"/>
      <x:c r="D32" s="1"/>
      <x:c r="E32" s="1"/>
      <x:c r="F32" s="1"/>
      <x:c r="G32" s="1" t="n">
        <x:v>5</x:v>
      </x:c>
      <x:c r="H32" s="1" t="n">
        <x:v>5</x:v>
      </x:c>
      <x:c r="I32" s="1" t="n">
        <x:v>5</x:v>
      </x:c>
      <x:c r="J32" s="1" t="n">
        <x:v>4</x:v>
      </x:c>
      <x:c r="K32" s="1" t="n">
        <x:v>5</x:v>
      </x:c>
      <x:c r="L32" s="1"/>
      <x:c r="M32" s="1" t="n">
        <x:v>5</x:v>
      </x:c>
      <x:c r="N32" s="1"/>
      <x:c r="O32" s="1" t="n">
        <x:v>5</x:v>
      </x:c>
      <x:c r="P32" s="3" t="str">
        <x:v>Provisional. Unresolved: Q1, Q2, Q3, Q4, Q10, Q12</x:v>
      </x:c>
    </x:row>
    <x:row r="33" ht="22" customHeight="1">
      <x:c r="A33" s="1" t="str">
        <x:v>C28</x:v>
      </x:c>
      <x:c r="B33" s="1" t="str">
        <x:v>photo_48</x:v>
      </x:c>
      <x:c r="C33" s="1" t="n">
        <x:v>2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3" t="str">
        <x:v>Provisional. Unresolved: Q2, Q3, Q4, Q5, Q6, Q7, Q8, Q9, Q10, Q11, Q12, Q13</x:v>
      </x:c>
    </x:row>
    <x:row r="34" ht="22" customHeight="1">
      <x:c r="A34" s="1" t="str">
        <x:v>C29</x:v>
      </x:c>
      <x:c r="B34" s="1" t="str">
        <x:v>photo_49</x:v>
      </x:c>
      <x:c r="C34" s="1" t="n">
        <x:v>5</x:v>
      </x:c>
      <x:c r="D34" s="1" t="n">
        <x:v>5</x:v>
      </x:c>
      <x:c r="E34" s="1" t="n">
        <x:v>5</x:v>
      </x:c>
      <x:c r="F34" s="1" t="n">
        <x:v>5</x:v>
      </x:c>
      <x:c r="G34" s="1" t="n">
        <x:v>5</x:v>
      </x:c>
      <x:c r="H34" s="1" t="n">
        <x:v>4</x:v>
      </x:c>
      <x:c r="I34" s="1"/>
      <x:c r="J34" s="1"/>
      <x:c r="K34" s="1"/>
      <x:c r="L34" s="1"/>
      <x:c r="M34" s="1" t="n">
        <x:v>5</x:v>
      </x:c>
      <x:c r="N34" s="1" t="n">
        <x:v>5</x:v>
      </x:c>
      <x:c r="O34" s="1" t="n">
        <x:v>5</x:v>
      </x:c>
      <x:c r="P34" s="3" t="str">
        <x:v>Provisional. Unresolved: Q7, Q8, Q9, Q10</x:v>
      </x:c>
    </x:row>
    <x:row r="35" ht="22" customHeight="1">
      <x:c r="A35" s="1" t="str">
        <x:v>C30</x:v>
      </x:c>
      <x:c r="B35" s="1" t="str">
        <x:v>photo_50</x:v>
      </x:c>
      <x:c r="C35" s="1" t="n">
        <x:v>4</x:v>
      </x:c>
      <x:c r="D35" s="1" t="n">
        <x:v>4</x:v>
      </x:c>
      <x:c r="E35" s="1" t="n">
        <x:v>5</x:v>
      </x:c>
      <x:c r="F35" s="1" t="n">
        <x:v>4</x:v>
      </x:c>
      <x:c r="G35" s="1" t="n">
        <x:v>4</x:v>
      </x:c>
      <x:c r="H35" s="1" t="n">
        <x:v>5</x:v>
      </x:c>
      <x:c r="I35" s="1" t="n">
        <x:v>4</x:v>
      </x:c>
      <x:c r="J35" s="1" t="n">
        <x:v>5</x:v>
      </x:c>
      <x:c r="K35" s="1" t="n">
        <x:v>5</x:v>
      </x:c>
      <x:c r="L35" s="1"/>
      <x:c r="M35" s="1" t="n">
        <x:v>5</x:v>
      </x:c>
      <x:c r="N35" s="1" t="n">
        <x:v>5</x:v>
      </x:c>
      <x:c r="O35" s="1" t="n">
        <x:v>4</x:v>
      </x:c>
      <x:c r="P35" s="3" t="str">
        <x:v>Provisional. Unresolved: Q10</x:v>
      </x:c>
    </x:row>
    <x:row r="36" ht="22" customHeight="1">
      <x:c r="A36" s="1" t="str">
        <x:v>C31</x:v>
      </x:c>
      <x:c r="B36" s="1" t="str">
        <x:v>photo_51</x:v>
      </x:c>
      <x:c r="C36" s="1" t="n">
        <x:v>4</x:v>
      </x:c>
      <x:c r="D36" s="1" t="n">
        <x:v>3</x:v>
      </x:c>
      <x:c r="E36" s="1" t="n">
        <x:v>3</x:v>
      </x:c>
      <x:c r="F36" s="1" t="n">
        <x:v>5</x:v>
      </x:c>
      <x:c r="G36" s="1" t="n">
        <x:v>5</x:v>
      </x:c>
      <x:c r="H36" s="1" t="n">
        <x:v>4</x:v>
      </x:c>
      <x:c r="I36" s="1"/>
      <x:c r="J36" s="1" t="n">
        <x:v>3</x:v>
      </x:c>
      <x:c r="K36" s="1"/>
      <x:c r="L36" s="1"/>
      <x:c r="M36" s="1" t="n">
        <x:v>5</x:v>
      </x:c>
      <x:c r="N36" s="1" t="n">
        <x:v>3</x:v>
      </x:c>
      <x:c r="O36" s="1"/>
      <x:c r="P36" s="3" t="str">
        <x:v>Provisional. Unresolved: Q7, Q9, Q10, Q13</x:v>
      </x:c>
    </x:row>
    <x:row r="37" ht="22" customHeight="1">
      <x:c r="A37" s="1" t="str">
        <x:v>C32</x:v>
      </x:c>
      <x:c r="B37" s="1" t="str">
        <x:v>photo_52</x:v>
      </x:c>
      <x:c r="C37" s="1" t="n">
        <x:v>5</x:v>
      </x:c>
      <x:c r="D37" s="1" t="n">
        <x:v>5</x:v>
      </x:c>
      <x:c r="E37" s="1" t="n">
        <x:v>5</x:v>
      </x:c>
      <x:c r="F37" s="1" t="n">
        <x:v>5</x:v>
      </x:c>
      <x:c r="G37" s="1" t="n">
        <x:v>4</x:v>
      </x:c>
      <x:c r="H37" s="1" t="n">
        <x:v>5</x:v>
      </x:c>
      <x:c r="I37" s="1" t="n">
        <x:v>5</x:v>
      </x:c>
      <x:c r="J37" s="1" t="n">
        <x:v>5</x:v>
      </x:c>
      <x:c r="K37" s="1" t="n">
        <x:v>5</x:v>
      </x:c>
      <x:c r="L37" s="1"/>
      <x:c r="M37" s="1" t="n">
        <x:v>5</x:v>
      </x:c>
      <x:c r="N37" s="1" t="n">
        <x:v>5</x:v>
      </x:c>
      <x:c r="O37" s="1" t="n">
        <x:v>5</x:v>
      </x:c>
      <x:c r="P37" s="3" t="str">
        <x:v>Provisional. Unresolved: Q10</x:v>
      </x:c>
    </x:row>
    <x:row r="38" ht="22" customHeight="1">
      <x:c r="A38" s="1" t="str">
        <x:v>C33</x:v>
      </x:c>
      <x:c r="B38" s="1" t="str">
        <x:v>photo_53</x:v>
      </x:c>
      <x:c r="C38" s="1" t="n">
        <x:v>4</x:v>
      </x:c>
      <x:c r="D38" s="1" t="n">
        <x:v>4</x:v>
      </x:c>
      <x:c r="E38" s="1" t="n">
        <x:v>4</x:v>
      </x:c>
      <x:c r="F38" s="1" t="n">
        <x:v>5</x:v>
      </x:c>
      <x:c r="G38" s="1" t="n">
        <x:v>3</x:v>
      </x:c>
      <x:c r="H38" s="1" t="n">
        <x:v>4</x:v>
      </x:c>
      <x:c r="I38" s="1" t="n">
        <x:v>3</x:v>
      </x:c>
      <x:c r="J38" s="1" t="n">
        <x:v>5</x:v>
      </x:c>
      <x:c r="K38" s="1" t="n">
        <x:v>5</x:v>
      </x:c>
      <x:c r="L38" s="1"/>
      <x:c r="M38" s="1" t="n">
        <x:v>5</x:v>
      </x:c>
      <x:c r="N38" s="1" t="n">
        <x:v>4</x:v>
      </x:c>
      <x:c r="O38" s="1" t="n">
        <x:v>4</x:v>
      </x:c>
      <x:c r="P38" s="3" t="str">
        <x:v>Provisional. Unresolved: Q10</x:v>
      </x:c>
    </x:row>
    <x:row r="39" ht="22" customHeight="1">
      <x:c r="A39" s="1" t="str">
        <x:v>C34</x:v>
      </x:c>
      <x:c r="B39" s="1" t="str">
        <x:v>photo_54</x:v>
      </x:c>
      <x:c r="C39" s="1"/>
      <x:c r="D39" s="1" t="n">
        <x:v>4</x:v>
      </x:c>
      <x:c r="E39" s="1"/>
      <x:c r="F39" s="1" t="n">
        <x:v>5</x:v>
      </x:c>
      <x:c r="G39" s="1"/>
      <x:c r="H39" s="1"/>
      <x:c r="I39" s="1"/>
      <x:c r="J39" s="1"/>
      <x:c r="K39" s="1"/>
      <x:c r="L39" s="1"/>
      <x:c r="M39" s="1"/>
      <x:c r="N39" s="1" t="n">
        <x:v>4</x:v>
      </x:c>
      <x:c r="O39" s="1" t="n">
        <x:v>4</x:v>
      </x:c>
      <x:c r="P39" s="3" t="str">
        <x:v>Provisional. Unresolved: Q1, Q3, Q5, Q6, Q7, Q8, Q9, Q10, Q11</x:v>
      </x:c>
    </x:row>
    <x:row r="40" ht="22" customHeight="1">
      <x:c r="A40" s="1" t="str">
        <x:v>C35</x:v>
      </x:c>
      <x:c r="B40" s="1" t="str">
        <x:v>photo_55</x:v>
      </x:c>
      <x:c r="C40" s="1" t="n">
        <x:v>4</x:v>
      </x:c>
      <x:c r="D40" s="1" t="n">
        <x:v>3</x:v>
      </x:c>
      <x:c r="E40" s="1" t="n">
        <x:v>4</x:v>
      </x:c>
      <x:c r="F40" s="1" t="n">
        <x:v>3</x:v>
      </x:c>
      <x:c r="G40" s="1" t="n">
        <x:v>5</x:v>
      </x:c>
      <x:c r="H40" s="1" t="n">
        <x:v>3</x:v>
      </x:c>
      <x:c r="I40" s="1" t="n">
        <x:v>3</x:v>
      </x:c>
      <x:c r="J40" s="1" t="n">
        <x:v>3</x:v>
      </x:c>
      <x:c r="K40" s="1" t="n">
        <x:v>3</x:v>
      </x:c>
      <x:c r="L40" s="1"/>
      <x:c r="M40" s="1" t="n">
        <x:v>4</x:v>
      </x:c>
      <x:c r="N40" s="1" t="n">
        <x:v>3</x:v>
      </x:c>
      <x:c r="O40" s="1" t="n">
        <x:v>3</x:v>
      </x:c>
      <x:c r="P40" s="3" t="str">
        <x:v>Provisional. Unresolved: Q10</x:v>
      </x:c>
    </x:row>
    <x:row r="41" ht="22" customHeight="1">
      <x:c r="A41" s="1" t="str">
        <x:v>C36</x:v>
      </x:c>
      <x:c r="B41" s="1" t="str">
        <x:v>photo_56</x:v>
      </x:c>
      <x:c r="C41" s="1" t="n">
        <x:v>5</x:v>
      </x:c>
      <x:c r="D41" s="1" t="n">
        <x:v>5</x:v>
      </x:c>
      <x:c r="E41" s="1" t="n">
        <x:v>4</x:v>
      </x:c>
      <x:c r="F41" s="1" t="n">
        <x:v>5</x:v>
      </x:c>
      <x:c r="G41" s="1" t="n">
        <x:v>5</x:v>
      </x:c>
      <x:c r="H41" s="1" t="n">
        <x:v>5</x:v>
      </x:c>
      <x:c r="I41" s="1" t="n">
        <x:v>4</x:v>
      </x:c>
      <x:c r="J41" s="1" t="n">
        <x:v>5</x:v>
      </x:c>
      <x:c r="K41" s="1" t="n">
        <x:v>5</x:v>
      </x:c>
      <x:c r="L41" s="1"/>
      <x:c r="M41" s="1" t="n">
        <x:v>5</x:v>
      </x:c>
      <x:c r="N41" s="1" t="n">
        <x:v>5</x:v>
      </x:c>
      <x:c r="O41" s="1" t="n">
        <x:v>4</x:v>
      </x:c>
      <x:c r="P41" s="3" t="str">
        <x:v>Provisional. Unresolved: Q10</x:v>
      </x:c>
    </x:row>
    <x:row r="42" ht="22" customHeight="1">
      <x:c r="A42" s="1" t="str">
        <x:v>C37</x:v>
      </x:c>
      <x:c r="B42" s="1" t="str">
        <x:v>photo_57</x:v>
      </x:c>
      <x:c r="C42" s="1" t="n">
        <x:v>4</x:v>
      </x:c>
      <x:c r="D42" s="1" t="n">
        <x:v>5</x:v>
      </x:c>
      <x:c r="E42" s="1" t="n">
        <x:v>5</x:v>
      </x:c>
      <x:c r="F42" s="1" t="n">
        <x:v>5</x:v>
      </x:c>
      <x:c r="G42" s="1" t="n">
        <x:v>5</x:v>
      </x:c>
      <x:c r="H42" s="1" t="n">
        <x:v>4</x:v>
      </x:c>
      <x:c r="I42" s="1" t="n">
        <x:v>4</x:v>
      </x:c>
      <x:c r="J42" s="1" t="n">
        <x:v>4</x:v>
      </x:c>
      <x:c r="K42" s="1" t="n">
        <x:v>5</x:v>
      </x:c>
      <x:c r="L42" s="1"/>
      <x:c r="M42" s="1"/>
      <x:c r="N42" s="1" t="n">
        <x:v>5</x:v>
      </x:c>
      <x:c r="O42" s="1" t="n">
        <x:v>4</x:v>
      </x:c>
      <x:c r="P42" s="3" t="str">
        <x:v>Provisional. Unresolved: Q10, Q11</x:v>
      </x:c>
    </x:row>
    <x:row r="43" ht="22" customHeight="1">
      <x:c r="A43" s="1" t="str">
        <x:v>C38</x:v>
      </x:c>
      <x:c r="B43" s="1" t="str">
        <x:v>photo_58</x:v>
      </x:c>
      <x:c r="C43" s="1" t="n">
        <x:v>5</x:v>
      </x:c>
      <x:c r="D43" s="1" t="n">
        <x:v>5</x:v>
      </x:c>
      <x:c r="E43" s="1" t="n">
        <x:v>5</x:v>
      </x:c>
      <x:c r="F43" s="1" t="n">
        <x:v>4</x:v>
      </x:c>
      <x:c r="G43" s="1" t="n">
        <x:v>4</x:v>
      </x:c>
      <x:c r="H43" s="1" t="n">
        <x:v>5</x:v>
      </x:c>
      <x:c r="I43" s="1" t="n">
        <x:v>4</x:v>
      </x:c>
      <x:c r="J43" s="1" t="n">
        <x:v>5</x:v>
      </x:c>
      <x:c r="K43" s="1" t="n">
        <x:v>5</x:v>
      </x:c>
      <x:c r="L43" s="1"/>
      <x:c r="M43" s="1" t="n">
        <x:v>5</x:v>
      </x:c>
      <x:c r="N43" s="1" t="n">
        <x:v>5</x:v>
      </x:c>
      <x:c r="O43" s="1" t="n">
        <x:v>5</x:v>
      </x:c>
      <x:c r="P43" s="3" t="str">
        <x:v>Provisional. Unresolved: Q10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55" hidden="0" customWidth="1"/>
  </x:cols>
  <x:sheetData>
    <x:row r="1" ht="22" customHeight="1">
      <x:c r="A1" s="2" t="str">
        <x:v>IT experts — provisional transcription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</x:row>
    <x:row r="2" ht="22" customHeight="1">
      <x:c r="A2" s="1" t="str">
        <x:v>All entries need review against source photos; blank means unresolved, never zero.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</x:row>
    <x:row r="4" ht="22" customHeight="1">
      <x:c r="A4" s="1" t="str">
        <x:v>Scale: 5 Excellent | 4 Very Good | 3 Good | 2 Poor | 1 Very Poor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</x:row>
    <x:row r="5" ht="90" customHeight="1">
      <x:c r="A5" s="4" t="str">
        <x:v>ID</x:v>
      </x:c>
      <x:c r="B5" s="4" t="str">
        <x:v>Source photo</x:v>
      </x:c>
      <x:c r="C5" s="5" t="str">
        <x:v>Q1 Functional completeness</x:v>
      </x:c>
      <x:c r="D5" s="5" t="str">
        <x:v>Q2 Functional correctness</x:v>
      </x:c>
      <x:c r="E5" s="5" t="str">
        <x:v>Q3 Functional appropriateness</x:v>
      </x:c>
      <x:c r="F5" s="5" t="str">
        <x:v>Q4 Time behavior</x:v>
      </x:c>
      <x:c r="G5" s="5" t="str">
        <x:v>Q5 Resource utilization</x:v>
      </x:c>
      <x:c r="H5" s="5" t="str">
        <x:v>Q6 Capacity</x:v>
      </x:c>
      <x:c r="I5" s="5" t="str">
        <x:v>Q7 Co-existence</x:v>
      </x:c>
      <x:c r="J5" s="5" t="str">
        <x:v>Q8 Interoperability</x:v>
      </x:c>
      <x:c r="K5" s="5" t="str">
        <x:v>Q9 Appropriateness recognizability</x:v>
      </x:c>
      <x:c r="L5" s="5" t="str">
        <x:v>Q10 Learnability</x:v>
      </x:c>
      <x:c r="M5" s="5" t="str">
        <x:v>Q11 Operability</x:v>
      </x:c>
      <x:c r="N5" s="5" t="str">
        <x:v>Q12 User error protection</x:v>
      </x:c>
      <x:c r="O5" s="5" t="str">
        <x:v>Q13 User interface aesthetics</x:v>
      </x:c>
      <x:c r="P5" s="5" t="str">
        <x:v>Q14 Accessibility</x:v>
      </x:c>
      <x:c r="Q5" s="5" t="str">
        <x:v>Q15 Maturity</x:v>
      </x:c>
      <x:c r="R5" s="5" t="str">
        <x:v>Q16 Availability</x:v>
      </x:c>
      <x:c r="S5" s="5" t="str">
        <x:v>Q17 Fault tolerance</x:v>
      </x:c>
      <x:c r="T5" s="5" t="str">
        <x:v>Q18 Recoverability</x:v>
      </x:c>
      <x:c r="U5" s="5" t="str">
        <x:v>Q19 Confidentiality</x:v>
      </x:c>
      <x:c r="V5" s="5" t="str">
        <x:v>Q20 Integrity</x:v>
      </x:c>
      <x:c r="W5" s="5" t="str">
        <x:v>Q21 Non-repudiation</x:v>
      </x:c>
      <x:c r="X5" s="5" t="str">
        <x:v>Q22 Accountability</x:v>
      </x:c>
      <x:c r="Y5" s="5" t="str">
        <x:v>Q23 Authenticity</x:v>
      </x:c>
      <x:c r="Z5" s="5" t="str">
        <x:v>Q24 Modularity</x:v>
      </x:c>
      <x:c r="AA5" s="5" t="str">
        <x:v>Q25 Reusability</x:v>
      </x:c>
      <x:c r="AB5" s="5" t="str">
        <x:v>Q26 Analyzability</x:v>
      </x:c>
      <x:c r="AC5" s="5" t="str">
        <x:v>Q27 Modifiability</x:v>
      </x:c>
      <x:c r="AD5" s="5" t="str">
        <x:v>Q28 Testability</x:v>
      </x:c>
      <x:c r="AE5" s="5" t="str">
        <x:v>Q29 Adaptability</x:v>
      </x:c>
      <x:c r="AF5" s="5" t="str">
        <x:v>Q30 Installability</x:v>
      </x:c>
      <x:c r="AG5" s="5" t="str">
        <x:v>Q31 Replaceability</x:v>
      </x:c>
      <x:c r="AH5" s="4" t="str">
        <x:v>Review notes</x:v>
      </x:c>
    </x:row>
    <x:row r="6" ht="22" customHeight="1">
      <x:c r="A6" s="1" t="str">
        <x:v>E01</x:v>
      </x:c>
      <x:c r="B6" s="1" t="str">
        <x:v>photo_1 + photo_2</x:v>
      </x:c>
      <x:c r="C6" s="1" t="n">
        <x:v>4</x:v>
      </x:c>
      <x:c r="D6" s="1" t="n">
        <x:v>5</x:v>
      </x:c>
      <x:c r="E6" s="1" t="n">
        <x:v>5</x:v>
      </x:c>
      <x:c r="F6" s="1" t="n">
        <x:v>5</x:v>
      </x:c>
      <x:c r="G6" s="1" t="n">
        <x:v>5</x:v>
      </x:c>
      <x:c r="H6" s="1" t="n">
        <x:v>5</x:v>
      </x:c>
      <x:c r="I6" s="1" t="n">
        <x:v>5</x:v>
      </x:c>
      <x:c r="J6" s="1" t="n">
        <x:v>5</x:v>
      </x:c>
      <x:c r="K6" s="1" t="n">
        <x:v>5</x:v>
      </x:c>
      <x:c r="L6" s="1" t="n">
        <x:v>5</x:v>
      </x:c>
      <x:c r="M6" s="1" t="n">
        <x:v>5</x:v>
      </x:c>
      <x:c r="N6" s="1" t="n">
        <x:v>5</x:v>
      </x:c>
      <x:c r="O6" s="1" t="n">
        <x:v>4</x:v>
      </x:c>
      <x:c r="P6" s="1" t="n">
        <x:v>5</x:v>
      </x:c>
      <x:c r="Q6" s="1" t="n">
        <x:v>5</x:v>
      </x:c>
      <x:c r="R6" s="1" t="n">
        <x:v>5</x:v>
      </x:c>
      <x:c r="S6" s="1" t="n">
        <x:v>5</x:v>
      </x:c>
      <x:c r="T6" s="1" t="n">
        <x:v>5</x:v>
      </x:c>
      <x:c r="U6" s="1" t="n">
        <x:v>5</x:v>
      </x:c>
      <x:c r="V6" s="1" t="n">
        <x:v>5</x:v>
      </x:c>
      <x:c r="W6" s="1" t="n">
        <x:v>5</x:v>
      </x:c>
      <x:c r="X6" s="1" t="n">
        <x:v>5</x:v>
      </x:c>
      <x:c r="Y6" s="1" t="n">
        <x:v>5</x:v>
      </x:c>
      <x:c r="Z6" s="1" t="n">
        <x:v>5</x:v>
      </x:c>
      <x:c r="AA6" s="1" t="n">
        <x:v>5</x:v>
      </x:c>
      <x:c r="AB6" s="1" t="n">
        <x:v>5</x:v>
      </x:c>
      <x:c r="AC6" s="1" t="n">
        <x:v>5</x:v>
      </x:c>
      <x:c r="AD6" s="1" t="n">
        <x:v>5</x:v>
      </x:c>
      <x:c r="AE6" s="1" t="n">
        <x:v>5</x:v>
      </x:c>
      <x:c r="AF6" s="1" t="n">
        <x:v>5</x:v>
      </x:c>
      <x:c r="AG6" s="1" t="n">
        <x:v>5</x:v>
      </x:c>
      <x:c r="AH6" s="3" t="str">
        <x:v>Provisional. Unresolved: none flagged; verify all marks</x:v>
      </x:c>
    </x:row>
    <x:row r="7" ht="22" customHeight="1">
      <x:c r="A7" s="1" t="str">
        <x:v>E02</x:v>
      </x:c>
      <x:c r="B7" s="1" t="str">
        <x:v>photo_3 + photo_4</x:v>
      </x:c>
      <x:c r="C7" s="1" t="n">
        <x:v>4</x:v>
      </x:c>
      <x:c r="D7" s="1" t="n">
        <x:v>4</x:v>
      </x:c>
      <x:c r="E7" s="1" t="n">
        <x:v>5</x:v>
      </x:c>
      <x:c r="F7" s="1" t="n">
        <x:v>4</x:v>
      </x:c>
      <x:c r="G7" s="1" t="n">
        <x:v>4</x:v>
      </x:c>
      <x:c r="H7" s="1" t="n">
        <x:v>3</x:v>
      </x:c>
      <x:c r="I7" s="1" t="n">
        <x:v>4</x:v>
      </x:c>
      <x:c r="J7" s="1" t="n">
        <x:v>4</x:v>
      </x:c>
      <x:c r="K7" s="1" t="n">
        <x:v>4</x:v>
      </x:c>
      <x:c r="L7" s="1" t="n">
        <x:v>4</x:v>
      </x:c>
      <x:c r="M7" s="1" t="n">
        <x:v>4</x:v>
      </x:c>
      <x:c r="N7" s="1" t="n">
        <x:v>4</x:v>
      </x:c>
      <x:c r="O7" s="1" t="n">
        <x:v>3</x:v>
      </x:c>
      <x:c r="P7" s="1" t="n">
        <x:v>3</x:v>
      </x:c>
      <x:c r="Q7" s="1" t="n">
        <x:v>3</x:v>
      </x:c>
      <x:c r="R7" s="1" t="n">
        <x:v>4</x:v>
      </x:c>
      <x:c r="S7" s="1" t="n">
        <x:v>3</x:v>
      </x:c>
      <x:c r="T7" s="1" t="n">
        <x:v>4</x:v>
      </x:c>
      <x:c r="U7" s="1" t="n">
        <x:v>3</x:v>
      </x:c>
      <x:c r="V7" s="1" t="n">
        <x:v>4</x:v>
      </x:c>
      <x:c r="W7" s="1" t="n">
        <x:v>4</x:v>
      </x:c>
      <x:c r="X7" s="1" t="n">
        <x:v>4</x:v>
      </x:c>
      <x:c r="Y7" s="1" t="n">
        <x:v>4</x:v>
      </x:c>
      <x:c r="Z7" s="1" t="n">
        <x:v>4</x:v>
      </x:c>
      <x:c r="AA7" s="1" t="n">
        <x:v>4</x:v>
      </x:c>
      <x:c r="AB7" s="1" t="n">
        <x:v>4</x:v>
      </x:c>
      <x:c r="AC7" s="1" t="n">
        <x:v>4</x:v>
      </x:c>
      <x:c r="AD7" s="1" t="n">
        <x:v>4</x:v>
      </x:c>
      <x:c r="AE7" s="1" t="n">
        <x:v>3</x:v>
      </x:c>
      <x:c r="AF7" s="1" t="n">
        <x:v>4</x:v>
      </x:c>
      <x:c r="AG7" s="1" t="n">
        <x:v>3</x:v>
      </x:c>
      <x:c r="AH7" s="3" t="str">
        <x:v>Provisional. Unresolved: none flagged; verify all marks</x:v>
      </x:c>
    </x:row>
    <x:row r="8" ht="22" customHeight="1">
      <x:c r="A8" s="1" t="str">
        <x:v>E03</x:v>
      </x:c>
      <x:c r="B8" s="1" t="str">
        <x:v>photo_5 + photo_6</x:v>
      </x:c>
      <x:c r="C8" s="1" t="n">
        <x:v>5</x:v>
      </x:c>
      <x:c r="D8" s="1" t="n">
        <x:v>5</x:v>
      </x:c>
      <x:c r="E8" s="1" t="n">
        <x:v>5</x:v>
      </x:c>
      <x:c r="F8" s="1" t="n">
        <x:v>5</x:v>
      </x:c>
      <x:c r="G8" s="1" t="n">
        <x:v>5</x:v>
      </x:c>
      <x:c r="H8" s="1" t="n">
        <x:v>5</x:v>
      </x:c>
      <x:c r="I8" s="1" t="n">
        <x:v>5</x:v>
      </x:c>
      <x:c r="J8" s="1" t="n">
        <x:v>5</x:v>
      </x:c>
      <x:c r="K8" s="1" t="n">
        <x:v>5</x:v>
      </x:c>
      <x:c r="L8" s="1"/>
      <x:c r="M8" s="1" t="n">
        <x:v>5</x:v>
      </x:c>
      <x:c r="N8" s="1" t="n">
        <x:v>5</x:v>
      </x:c>
      <x:c r="O8" s="1" t="n">
        <x:v>5</x:v>
      </x:c>
      <x:c r="P8" s="1" t="n">
        <x:v>5</x:v>
      </x:c>
      <x:c r="Q8" s="1" t="n">
        <x:v>5</x:v>
      </x:c>
      <x:c r="R8" s="1" t="n">
        <x:v>5</x:v>
      </x:c>
      <x:c r="S8" s="1" t="n">
        <x:v>5</x:v>
      </x:c>
      <x:c r="T8" s="1" t="n">
        <x:v>5</x:v>
      </x:c>
      <x:c r="U8" s="1" t="n">
        <x:v>5</x:v>
      </x:c>
      <x:c r="V8" s="1" t="n">
        <x:v>5</x:v>
      </x:c>
      <x:c r="W8" s="1" t="n">
        <x:v>5</x:v>
      </x:c>
      <x:c r="X8" s="1" t="n">
        <x:v>5</x:v>
      </x:c>
      <x:c r="Y8" s="1" t="n">
        <x:v>5</x:v>
      </x:c>
      <x:c r="Z8" s="1" t="n">
        <x:v>5</x:v>
      </x:c>
      <x:c r="AA8" s="1" t="n">
        <x:v>5</x:v>
      </x:c>
      <x:c r="AB8" s="1" t="n">
        <x:v>5</x:v>
      </x:c>
      <x:c r="AC8" s="1" t="n">
        <x:v>5</x:v>
      </x:c>
      <x:c r="AD8" s="1" t="n">
        <x:v>5</x:v>
      </x:c>
      <x:c r="AE8" s="1" t="n">
        <x:v>5</x:v>
      </x:c>
      <x:c r="AF8" s="1" t="n">
        <x:v>5</x:v>
      </x:c>
      <x:c r="AG8" s="1" t="n">
        <x:v>5</x:v>
      </x:c>
      <x:c r="AH8" s="3" t="str">
        <x:v>Provisional. Unresolved: Q10</x:v>
      </x:c>
    </x:row>
    <x:row r="9" ht="22" customHeight="1">
      <x:c r="A9" s="1" t="str">
        <x:v>E04</x:v>
      </x:c>
      <x:c r="B9" s="1" t="str">
        <x:v>photo_7 + photo_8</x:v>
      </x:c>
      <x:c r="C9" s="1" t="n">
        <x:v>5</x:v>
      </x:c>
      <x:c r="D9" s="1" t="n">
        <x:v>5</x:v>
      </x:c>
      <x:c r="E9" s="1" t="n">
        <x:v>5</x:v>
      </x:c>
      <x:c r="F9" s="1" t="n">
        <x:v>5</x:v>
      </x:c>
      <x:c r="G9" s="1" t="n">
        <x:v>5</x:v>
      </x:c>
      <x:c r="H9" s="1" t="n">
        <x:v>5</x:v>
      </x:c>
      <x:c r="I9" s="1" t="n">
        <x:v>5</x:v>
      </x:c>
      <x:c r="J9" s="1" t="n">
        <x:v>5</x:v>
      </x:c>
      <x:c r="K9" s="1" t="n">
        <x:v>5</x:v>
      </x:c>
      <x:c r="L9" s="1" t="n">
        <x:v>5</x:v>
      </x:c>
      <x:c r="M9" s="1" t="n">
        <x:v>5</x:v>
      </x:c>
      <x:c r="N9" s="1" t="n">
        <x:v>5</x:v>
      </x:c>
      <x:c r="O9" s="1" t="n">
        <x:v>5</x:v>
      </x:c>
      <x:c r="P9" s="1" t="n">
        <x:v>5</x:v>
      </x:c>
      <x:c r="Q9" s="1" t="n">
        <x:v>5</x:v>
      </x:c>
      <x:c r="R9" s="1" t="n">
        <x:v>5</x:v>
      </x:c>
      <x:c r="S9" s="1" t="n">
        <x:v>5</x:v>
      </x:c>
      <x:c r="T9" s="1" t="n">
        <x:v>5</x:v>
      </x:c>
      <x:c r="U9" s="1" t="n">
        <x:v>5</x:v>
      </x:c>
      <x:c r="V9" s="1" t="n">
        <x:v>5</x:v>
      </x:c>
      <x:c r="W9" s="1" t="n">
        <x:v>5</x:v>
      </x:c>
      <x:c r="X9" s="1" t="n">
        <x:v>5</x:v>
      </x:c>
      <x:c r="Y9" s="1" t="n">
        <x:v>5</x:v>
      </x:c>
      <x:c r="Z9" s="1" t="n">
        <x:v>5</x:v>
      </x:c>
      <x:c r="AA9" s="1" t="n">
        <x:v>5</x:v>
      </x:c>
      <x:c r="AB9" s="1" t="n">
        <x:v>5</x:v>
      </x:c>
      <x:c r="AC9" s="1" t="n">
        <x:v>5</x:v>
      </x:c>
      <x:c r="AD9" s="1" t="n">
        <x:v>5</x:v>
      </x:c>
      <x:c r="AE9" s="1" t="n">
        <x:v>5</x:v>
      </x:c>
      <x:c r="AF9" s="1" t="n">
        <x:v>5</x:v>
      </x:c>
      <x:c r="AG9" s="1" t="n">
        <x:v>5</x:v>
      </x:c>
      <x:c r="AH9" s="3" t="str">
        <x:v>Provisional. Unresolved: none flagged; verify all marks</x:v>
      </x:c>
    </x:row>
    <x:row r="10" ht="22" customHeight="1">
      <x:c r="A10" s="1" t="str">
        <x:v>E05</x:v>
      </x:c>
      <x:c r="B10" s="1" t="str">
        <x:v>photo_9 + photo_10</x:v>
      </x:c>
      <x:c r="C10" s="1" t="n">
        <x:v>5</x:v>
      </x:c>
      <x:c r="D10" s="1" t="n">
        <x:v>5</x:v>
      </x:c>
      <x:c r="E10" s="1" t="n">
        <x:v>5</x:v>
      </x:c>
      <x:c r="F10" s="1" t="n">
        <x:v>5</x:v>
      </x:c>
      <x:c r="G10" s="1" t="n">
        <x:v>5</x:v>
      </x:c>
      <x:c r="H10" s="1" t="n">
        <x:v>5</x:v>
      </x:c>
      <x:c r="I10" s="1" t="n">
        <x:v>5</x:v>
      </x:c>
      <x:c r="J10" s="1" t="n">
        <x:v>5</x:v>
      </x:c>
      <x:c r="K10" s="1" t="n">
        <x:v>4</x:v>
      </x:c>
      <x:c r="L10" s="1" t="n">
        <x:v>4</x:v>
      </x:c>
      <x:c r="M10" s="1" t="n">
        <x:v>4</x:v>
      </x:c>
      <x:c r="N10" s="1" t="n">
        <x:v>4</x:v>
      </x:c>
      <x:c r="O10" s="1" t="n">
        <x:v>4</x:v>
      </x:c>
      <x:c r="P10" s="1" t="n">
        <x:v>5</x:v>
      </x:c>
      <x:c r="Q10" s="1" t="n">
        <x:v>5</x:v>
      </x:c>
      <x:c r="R10" s="1" t="n">
        <x:v>5</x:v>
      </x:c>
      <x:c r="S10" s="1" t="n">
        <x:v>5</x:v>
      </x:c>
      <x:c r="T10" s="1" t="n">
        <x:v>5</x:v>
      </x:c>
      <x:c r="U10" s="1" t="n">
        <x:v>5</x:v>
      </x:c>
      <x:c r="V10" s="1" t="n">
        <x:v>5</x:v>
      </x:c>
      <x:c r="W10" s="1" t="n">
        <x:v>5</x:v>
      </x:c>
      <x:c r="X10" s="1" t="n">
        <x:v>5</x:v>
      </x:c>
      <x:c r="Y10" s="1" t="n">
        <x:v>5</x:v>
      </x:c>
      <x:c r="Z10" s="1" t="n">
        <x:v>5</x:v>
      </x:c>
      <x:c r="AA10" s="1" t="n">
        <x:v>5</x:v>
      </x:c>
      <x:c r="AB10" s="1" t="n">
        <x:v>5</x:v>
      </x:c>
      <x:c r="AC10" s="1" t="n">
        <x:v>5</x:v>
      </x:c>
      <x:c r="AD10" s="1" t="n">
        <x:v>5</x:v>
      </x:c>
      <x:c r="AE10" s="1" t="n">
        <x:v>5</x:v>
      </x:c>
      <x:c r="AF10" s="1" t="n">
        <x:v>5</x:v>
      </x:c>
      <x:c r="AG10" s="1" t="n">
        <x:v>5</x:v>
      </x:c>
      <x:c r="AH10" s="3" t="str">
        <x:v>Provisional. Unresolved: none flagged; verify all marks</x:v>
      </x:c>
    </x:row>
    <x:row r="11" ht="22" customHeight="1">
      <x:c r="A11" s="1" t="str">
        <x:v>E06</x:v>
      </x:c>
      <x:c r="B11" s="1" t="str">
        <x:v>photo_11 + photo_12</x:v>
      </x:c>
      <x:c r="C11" s="1" t="n">
        <x:v>4</x:v>
      </x:c>
      <x:c r="D11" s="1" t="n">
        <x:v>5</x:v>
      </x:c>
      <x:c r="E11" s="1" t="n">
        <x:v>4</x:v>
      </x:c>
      <x:c r="F11" s="1" t="n">
        <x:v>4</x:v>
      </x:c>
      <x:c r="G11" s="1" t="n">
        <x:v>5</x:v>
      </x:c>
      <x:c r="H11" s="1" t="n">
        <x:v>4</x:v>
      </x:c>
      <x:c r="I11" s="1" t="n">
        <x:v>4</x:v>
      </x:c>
      <x:c r="J11" s="1" t="n">
        <x:v>4</x:v>
      </x:c>
      <x:c r="K11" s="1" t="n">
        <x:v>5</x:v>
      </x:c>
      <x:c r="L11" s="1" t="n">
        <x:v>5</x:v>
      </x:c>
      <x:c r="M11" s="1" t="n">
        <x:v>4</x:v>
      </x:c>
      <x:c r="N11" s="1" t="n">
        <x:v>4</x:v>
      </x:c>
      <x:c r="O11" s="1" t="n">
        <x:v>4</x:v>
      </x:c>
      <x:c r="P11" s="1" t="n">
        <x:v>5</x:v>
      </x:c>
      <x:c r="Q11" s="1" t="n">
        <x:v>5</x:v>
      </x:c>
      <x:c r="R11" s="1" t="n">
        <x:v>4</x:v>
      </x:c>
      <x:c r="S11" s="1" t="n">
        <x:v>4</x:v>
      </x:c>
      <x:c r="T11" s="1" t="n">
        <x:v>4</x:v>
      </x:c>
      <x:c r="U11" s="1" t="n">
        <x:v>4</x:v>
      </x:c>
      <x:c r="V11" s="1" t="n">
        <x:v>5</x:v>
      </x:c>
      <x:c r="W11" s="1" t="n">
        <x:v>4</x:v>
      </x:c>
      <x:c r="X11" s="1" t="n">
        <x:v>5</x:v>
      </x:c>
      <x:c r="Y11" s="1" t="n">
        <x:v>4</x:v>
      </x:c>
      <x:c r="Z11" s="1" t="n">
        <x:v>4</x:v>
      </x:c>
      <x:c r="AA11" s="1" t="n">
        <x:v>4</x:v>
      </x:c>
      <x:c r="AB11" s="1" t="n">
        <x:v>4</x:v>
      </x:c>
      <x:c r="AC11" s="1" t="n">
        <x:v>5</x:v>
      </x:c>
      <x:c r="AD11" s="1" t="n">
        <x:v>4</x:v>
      </x:c>
      <x:c r="AE11" s="1" t="n">
        <x:v>4</x:v>
      </x:c>
      <x:c r="AF11" s="1" t="n">
        <x:v>4</x:v>
      </x:c>
      <x:c r="AG11" s="1" t="n">
        <x:v>4</x:v>
      </x:c>
      <x:c r="AH11" s="3" t="str">
        <x:v>Provisional. Unresolved: none flagged; verify all marks</x:v>
      </x:c>
    </x:row>
    <x:row r="12" ht="22" customHeight="1">
      <x:c r="A12" s="1" t="str">
        <x:v>E07</x:v>
      </x:c>
      <x:c r="B12" s="1" t="str">
        <x:v>photo_13 + photo_14</x:v>
      </x:c>
      <x:c r="C12" s="1"/>
      <x:c r="D12" s="1" t="n">
        <x:v>5</x:v>
      </x:c>
      <x:c r="E12" s="1" t="n">
        <x:v>5</x:v>
      </x:c>
      <x:c r="F12" s="1" t="n">
        <x:v>5</x:v>
      </x:c>
      <x:c r="G12" s="1" t="n">
        <x:v>5</x:v>
      </x:c>
      <x:c r="H12" s="1" t="n">
        <x:v>5</x:v>
      </x:c>
      <x:c r="I12" s="1" t="n">
        <x:v>5</x:v>
      </x:c>
      <x:c r="J12" s="1" t="n">
        <x:v>4</x:v>
      </x:c>
      <x:c r="K12" s="1" t="n">
        <x:v>5</x:v>
      </x:c>
      <x:c r="L12" s="1" t="n">
        <x:v>5</x:v>
      </x:c>
      <x:c r="M12" s="1" t="n">
        <x:v>5</x:v>
      </x:c>
      <x:c r="N12" s="1" t="n">
        <x:v>4</x:v>
      </x:c>
      <x:c r="O12" s="1" t="n">
        <x:v>5</x:v>
      </x:c>
      <x:c r="P12" s="1" t="n">
        <x:v>5</x:v>
      </x:c>
      <x:c r="Q12" s="1" t="n">
        <x:v>5</x:v>
      </x:c>
      <x:c r="R12" s="1" t="n">
        <x:v>5</x:v>
      </x:c>
      <x:c r="S12" s="1" t="n">
        <x:v>5</x:v>
      </x:c>
      <x:c r="T12" s="1" t="n">
        <x:v>5</x:v>
      </x:c>
      <x:c r="U12" s="1" t="n">
        <x:v>5</x:v>
      </x:c>
      <x:c r="V12" s="1" t="n">
        <x:v>4</x:v>
      </x:c>
      <x:c r="W12" s="1" t="n">
        <x:v>5</x:v>
      </x:c>
      <x:c r="X12" s="1" t="n">
        <x:v>5</x:v>
      </x:c>
      <x:c r="Y12" s="1" t="n">
        <x:v>5</x:v>
      </x:c>
      <x:c r="Z12" s="1" t="n">
        <x:v>5</x:v>
      </x:c>
      <x:c r="AA12" s="1" t="n">
        <x:v>5</x:v>
      </x:c>
      <x:c r="AB12" s="1" t="n">
        <x:v>5</x:v>
      </x:c>
      <x:c r="AC12" s="1" t="n">
        <x:v>4</x:v>
      </x:c>
      <x:c r="AD12" s="1" t="n">
        <x:v>5</x:v>
      </x:c>
      <x:c r="AE12" s="1" t="n">
        <x:v>5</x:v>
      </x:c>
      <x:c r="AF12" s="1" t="n">
        <x:v>5</x:v>
      </x:c>
      <x:c r="AG12" s="1" t="n">
        <x:v>5</x:v>
      </x:c>
      <x:c r="AH12" s="3" t="str">
        <x:v>Provisional. Unresolved: Q1</x:v>
      </x:c>
    </x:row>
    <x:row r="13" ht="22" customHeight="1">
      <x:c r="A13" s="1" t="str">
        <x:v>E08</x:v>
      </x:c>
      <x:c r="B13" s="1" t="str">
        <x:v>photo_15 + photo_16</x:v>
      </x:c>
      <x:c r="C13" s="1" t="n">
        <x:v>5</x:v>
      </x:c>
      <x:c r="D13" s="1" t="n">
        <x:v>5</x:v>
      </x:c>
      <x:c r="E13" s="1" t="n">
        <x:v>5</x:v>
      </x:c>
      <x:c r="F13" s="1" t="n">
        <x:v>5</x:v>
      </x:c>
      <x:c r="G13" s="1" t="n">
        <x:v>5</x:v>
      </x:c>
      <x:c r="H13" s="1" t="n">
        <x:v>5</x:v>
      </x:c>
      <x:c r="I13" s="1" t="n">
        <x:v>4</x:v>
      </x:c>
      <x:c r="J13" s="1" t="n">
        <x:v>4</x:v>
      </x:c>
      <x:c r="K13" s="1" t="n">
        <x:v>5</x:v>
      </x:c>
      <x:c r="L13" s="1" t="n">
        <x:v>5</x:v>
      </x:c>
      <x:c r="M13" s="1" t="n">
        <x:v>5</x:v>
      </x:c>
      <x:c r="N13" s="1" t="n">
        <x:v>4</x:v>
      </x:c>
      <x:c r="O13" s="1" t="n">
        <x:v>4</x:v>
      </x:c>
      <x:c r="P13" s="1" t="n">
        <x:v>4</x:v>
      </x:c>
      <x:c r="Q13" s="1" t="n">
        <x:v>5</x:v>
      </x:c>
      <x:c r="R13" s="1" t="n">
        <x:v>5</x:v>
      </x:c>
      <x:c r="S13" s="1" t="n">
        <x:v>5</x:v>
      </x:c>
      <x:c r="T13" s="1" t="n">
        <x:v>5</x:v>
      </x:c>
      <x:c r="U13" s="1" t="n">
        <x:v>5</x:v>
      </x:c>
      <x:c r="V13" s="1" t="n">
        <x:v>5</x:v>
      </x:c>
      <x:c r="W13" s="1" t="n">
        <x:v>5</x:v>
      </x:c>
      <x:c r="X13" s="1" t="n">
        <x:v>5</x:v>
      </x:c>
      <x:c r="Y13" s="1" t="n">
        <x:v>5</x:v>
      </x:c>
      <x:c r="Z13" s="1" t="n">
        <x:v>5</x:v>
      </x:c>
      <x:c r="AA13" s="1" t="n">
        <x:v>5</x:v>
      </x:c>
      <x:c r="AB13" s="1" t="n">
        <x:v>5</x:v>
      </x:c>
      <x:c r="AC13" s="1" t="n">
        <x:v>5</x:v>
      </x:c>
      <x:c r="AD13" s="1" t="n">
        <x:v>5</x:v>
      </x:c>
      <x:c r="AE13" s="1" t="n">
        <x:v>5</x:v>
      </x:c>
      <x:c r="AF13" s="1" t="n">
        <x:v>5</x:v>
      </x:c>
      <x:c r="AG13" s="1" t="n">
        <x:v>5</x:v>
      </x:c>
      <x:c r="AH13" s="3" t="str">
        <x:v>Provisional. Unresolved: none flagged; verify all marks</x:v>
      </x:c>
    </x:row>
    <x:row r="14" ht="22" customHeight="1">
      <x:c r="A14" s="1" t="str">
        <x:v>E09</x:v>
      </x:c>
      <x:c r="B14" s="1" t="str">
        <x:v>photo_17 + photo_18</x:v>
      </x:c>
      <x:c r="C14" s="1" t="n">
        <x:v>3</x:v>
      </x:c>
      <x:c r="D14" s="1" t="n">
        <x:v>3</x:v>
      </x:c>
      <x:c r="E14" s="1" t="n">
        <x:v>3</x:v>
      </x:c>
      <x:c r="F14" s="1" t="n">
        <x:v>3</x:v>
      </x:c>
      <x:c r="G14" s="1" t="n">
        <x:v>4</x:v>
      </x:c>
      <x:c r="H14" s="1" t="n">
        <x:v>3</x:v>
      </x:c>
      <x:c r="I14" s="1" t="n">
        <x:v>4</x:v>
      </x:c>
      <x:c r="J14" s="1" t="n">
        <x:v>3</x:v>
      </x:c>
      <x:c r="K14" s="1" t="n">
        <x:v>4</x:v>
      </x:c>
      <x:c r="L14" s="1" t="n">
        <x:v>3</x:v>
      </x:c>
      <x:c r="M14" s="1" t="n">
        <x:v>4</x:v>
      </x:c>
      <x:c r="N14" s="1" t="n">
        <x:v>3</x:v>
      </x:c>
      <x:c r="O14" s="1" t="n">
        <x:v>5</x:v>
      </x:c>
      <x:c r="P14" s="1" t="n">
        <x:v>5</x:v>
      </x:c>
      <x:c r="Q14" s="1" t="n">
        <x:v>4</x:v>
      </x:c>
      <x:c r="R14" s="1" t="n">
        <x:v>4</x:v>
      </x:c>
      <x:c r="S14" s="1" t="n">
        <x:v>3</x:v>
      </x:c>
      <x:c r="T14" s="1" t="n">
        <x:v>3</x:v>
      </x:c>
      <x:c r="U14" s="1" t="n">
        <x:v>3</x:v>
      </x:c>
      <x:c r="V14" s="1" t="n">
        <x:v>3</x:v>
      </x:c>
      <x:c r="W14" s="1" t="n">
        <x:v>3</x:v>
      </x:c>
      <x:c r="X14" s="1" t="n">
        <x:v>4</x:v>
      </x:c>
      <x:c r="Y14" s="1" t="n">
        <x:v>4</x:v>
      </x:c>
      <x:c r="Z14" s="1" t="n">
        <x:v>4</x:v>
      </x:c>
      <x:c r="AA14" s="1" t="n">
        <x:v>4</x:v>
      </x:c>
      <x:c r="AB14" s="1" t="n">
        <x:v>3</x:v>
      </x:c>
      <x:c r="AC14" s="1" t="n">
        <x:v>3</x:v>
      </x:c>
      <x:c r="AD14" s="1" t="n">
        <x:v>3</x:v>
      </x:c>
      <x:c r="AE14" s="1" t="n">
        <x:v>3</x:v>
      </x:c>
      <x:c r="AF14" s="1" t="n">
        <x:v>5</x:v>
      </x:c>
      <x:c r="AG14" s="1" t="n">
        <x:v>2</x:v>
      </x:c>
      <x:c r="AH14" s="3" t="str">
        <x:v>Provisional. Unresolved: none flagged; verify all marks</x:v>
      </x:c>
    </x:row>
    <x:row r="15" ht="22" customHeight="1">
      <x:c r="A15" s="1" t="str">
        <x:v>E10</x:v>
      </x:c>
      <x:c r="B15" s="1" t="str">
        <x:v>photo_19 + photo_20</x:v>
      </x:c>
      <x:c r="C15" s="1" t="n">
        <x:v>5</x:v>
      </x:c>
      <x:c r="D15" s="1" t="n">
        <x:v>4</x:v>
      </x:c>
      <x:c r="E15" s="1" t="n">
        <x:v>4</x:v>
      </x:c>
      <x:c r="F15" s="1" t="n">
        <x:v>4</x:v>
      </x:c>
      <x:c r="G15" s="1" t="n">
        <x:v>4</x:v>
      </x:c>
      <x:c r="H15" s="1" t="n">
        <x:v>4</x:v>
      </x:c>
      <x:c r="I15" s="1" t="n">
        <x:v>3</x:v>
      </x:c>
      <x:c r="J15" s="1" t="n">
        <x:v>4</x:v>
      </x:c>
      <x:c r="K15" s="1" t="n">
        <x:v>3</x:v>
      </x:c>
      <x:c r="L15" s="1" t="n">
        <x:v>4</x:v>
      </x:c>
      <x:c r="M15" s="1" t="n">
        <x:v>5</x:v>
      </x:c>
      <x:c r="N15" s="1" t="n">
        <x:v>5</x:v>
      </x:c>
      <x:c r="O15" s="1" t="n">
        <x:v>5</x:v>
      </x:c>
      <x:c r="P15" s="1" t="n">
        <x:v>5</x:v>
      </x:c>
      <x:c r="Q15" s="1" t="n">
        <x:v>4</x:v>
      </x:c>
      <x:c r="R15" s="1" t="n">
        <x:v>4</x:v>
      </x:c>
      <x:c r="S15" s="1" t="n">
        <x:v>4</x:v>
      </x:c>
      <x:c r="T15" s="1" t="n">
        <x:v>4</x:v>
      </x:c>
      <x:c r="U15" s="1" t="n">
        <x:v>5</x:v>
      </x:c>
      <x:c r="V15" s="1" t="n">
        <x:v>5</x:v>
      </x:c>
      <x:c r="W15" s="1" t="n">
        <x:v>5</x:v>
      </x:c>
      <x:c r="X15" s="1" t="n">
        <x:v>5</x:v>
      </x:c>
      <x:c r="Y15" s="1" t="n">
        <x:v>4</x:v>
      </x:c>
      <x:c r="Z15" s="1" t="n">
        <x:v>4</x:v>
      </x:c>
      <x:c r="AA15" s="1" t="n">
        <x:v>4</x:v>
      </x:c>
      <x:c r="AB15" s="1" t="n">
        <x:v>4</x:v>
      </x:c>
      <x:c r="AC15" s="1" t="n">
        <x:v>4</x:v>
      </x:c>
      <x:c r="AD15" s="1" t="n">
        <x:v>5</x:v>
      </x:c>
      <x:c r="AE15" s="1" t="n">
        <x:v>5</x:v>
      </x:c>
      <x:c r="AF15" s="1" t="n">
        <x:v>5</x:v>
      </x:c>
      <x:c r="AG15" s="1" t="n">
        <x:v>5</x:v>
      </x:c>
      <x:c r="AH15" s="3" t="str">
        <x:v>Provisional. Unresolved: none flagged; verify all marks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2" customHeight="1">
      <x:c r="A1" s="2" t="str">
        <x:v>SYNTHETIC EXAMPLES — included in scenario totals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2" customHeight="1">
      <x:c r="A2" s="1" t="str">
        <x:v>Two simulated client records. Included in Summary; not actual survey respondents.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2" customHeight="1">
      <x:c r="A5" s="20" t="str">
        <x:v>ID</x:v>
      </x:c>
      <x:c r="B5" s="20" t="str">
        <x:v>Q1</x:v>
      </x:c>
      <x:c r="C5" s="20" t="str">
        <x:v>Q2</x:v>
      </x:c>
      <x:c r="D5" s="20" t="str">
        <x:v>Q3</x:v>
      </x:c>
      <x:c r="E5" s="20" t="str">
        <x:v>Q4</x:v>
      </x:c>
      <x:c r="F5" s="20" t="str">
        <x:v>Q5</x:v>
      </x:c>
      <x:c r="G5" s="20" t="str">
        <x:v>Q6</x:v>
      </x:c>
      <x:c r="H5" s="20" t="str">
        <x:v>Q7</x:v>
      </x:c>
      <x:c r="I5" s="20" t="str">
        <x:v>Q8</x:v>
      </x:c>
      <x:c r="J5" s="20" t="str">
        <x:v>Q9</x:v>
      </x:c>
      <x:c r="K5" s="20" t="str">
        <x:v>Q10</x:v>
      </x:c>
      <x:c r="L5" s="20" t="str">
        <x:v>Q11</x:v>
      </x:c>
      <x:c r="M5" s="20" t="str">
        <x:v>Q12</x:v>
      </x:c>
      <x:c r="N5" s="20" t="str">
        <x:v>Q13</x:v>
      </x:c>
    </x:row>
    <x:row r="6" ht="22" customHeight="1">
      <x:c r="A6" s="1" t="str">
        <x:v>SAMPLE01</x:v>
      </x:c>
      <x:c r="B6" s="1" t="n">
        <x:v>5</x:v>
      </x:c>
      <x:c r="C6" s="1" t="n">
        <x:v>4</x:v>
      </x:c>
      <x:c r="D6" s="1" t="n">
        <x:v>5</x:v>
      </x:c>
      <x:c r="E6" s="1" t="n">
        <x:v>4</x:v>
      </x:c>
      <x:c r="F6" s="1" t="n">
        <x:v>4</x:v>
      </x:c>
      <x:c r="G6" s="1" t="n">
        <x:v>5</x:v>
      </x:c>
      <x:c r="H6" s="1" t="n">
        <x:v>4</x:v>
      </x:c>
      <x:c r="I6" s="1" t="n">
        <x:v>4</x:v>
      </x:c>
      <x:c r="J6" s="1" t="n">
        <x:v>5</x:v>
      </x:c>
      <x:c r="K6" s="1" t="n">
        <x:v>4</x:v>
      </x:c>
      <x:c r="L6" s="1" t="n">
        <x:v>5</x:v>
      </x:c>
      <x:c r="M6" s="1" t="n">
        <x:v>4</x:v>
      </x:c>
      <x:c r="N6" s="1" t="n">
        <x:v>4</x:v>
      </x:c>
    </x:row>
    <x:row r="7" ht="22" customHeight="1">
      <x:c r="A7" s="1" t="str">
        <x:v>SAMPLE02</x:v>
      </x:c>
      <x:c r="B7" s="1" t="n">
        <x:v>4</x:v>
      </x:c>
      <x:c r="C7" s="1" t="n">
        <x:v>4</x:v>
      </x:c>
      <x:c r="D7" s="1" t="n">
        <x:v>4</x:v>
      </x:c>
      <x:c r="E7" s="1" t="n">
        <x:v>5</x:v>
      </x:c>
      <x:c r="F7" s="1" t="n">
        <x:v>4</x:v>
      </x:c>
      <x:c r="G7" s="1" t="n">
        <x:v>4</x:v>
      </x:c>
      <x:c r="H7" s="1" t="n">
        <x:v>4</x:v>
      </x:c>
      <x:c r="I7" s="1" t="n">
        <x:v>5</x:v>
      </x:c>
      <x:c r="J7" s="1" t="n">
        <x:v>4</x:v>
      </x:c>
      <x:c r="K7" s="1" t="n">
        <x:v>4</x:v>
      </x:c>
      <x:c r="L7" s="1" t="n">
        <x:v>4</x:v>
      </x:c>
      <x:c r="M7" s="1" t="n">
        <x:v>4</x:v>
      </x:c>
      <x:c r="N7" s="1" t="n">
        <x:v>5</x:v>
      </x:c>
    </x:row>
  </x:sheetData>
  <x:pageMargins left="0.7" right="0.7" top="0.75" bottom="0.75" header="0.3" footer="0.3"/>
</x:worksheet>
</file>